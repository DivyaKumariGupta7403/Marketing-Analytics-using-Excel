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tables/table3.xml" ContentType="application/vnd.openxmlformats-officedocument.spreadsheetml.table+xml"/>
  <Override PartName="/xl/drawings/drawing4.xml" ContentType="application/vnd.openxmlformats-officedocument.drawing+xml"/>
  <Override PartName="/xl/slicers/slicer3.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ivya\Downloads\"/>
    </mc:Choice>
  </mc:AlternateContent>
  <xr:revisionPtr revIDLastSave="0" documentId="13_ncr:1_{8725314E-979D-4BA3-A8B7-15F587891465}" xr6:coauthVersionLast="47" xr6:coauthVersionMax="47" xr10:uidLastSave="{00000000-0000-0000-0000-000000000000}"/>
  <bookViews>
    <workbookView xWindow="-110" yWindow="-110" windowWidth="19420" windowHeight="10300" xr2:uid="{00000000-000D-0000-FFFF-FFFF00000000}"/>
  </bookViews>
  <sheets>
    <sheet name="Sales_Performance" sheetId="1" r:id="rId1"/>
    <sheet name="Sales Performance dashboard" sheetId="4" r:id="rId2"/>
    <sheet name="Survey_Data" sheetId="2" r:id="rId3"/>
    <sheet name="Survey data dashboard" sheetId="5" r:id="rId4"/>
    <sheet name="Marketing_ROI_KPIs" sheetId="3" r:id="rId5"/>
    <sheet name="Marketing_ROI Intrepretation" sheetId="6" r:id="rId6"/>
  </sheets>
  <definedNames>
    <definedName name="_xlnm._FilterDatabase" localSheetId="4" hidden="1">Marketing_ROI_KPIs!$A$1:$G$101</definedName>
    <definedName name="_xlnm._FilterDatabase" localSheetId="2" hidden="1">Survey_Data!$A$1:$G$151</definedName>
    <definedName name="NativeTimeline_Date">#N/A</definedName>
    <definedName name="Slicer_Channel">#N/A</definedName>
    <definedName name="Slicer_Likelihood_to_Recommend">#N/A</definedName>
    <definedName name="Slicer_Product_Awareness">#N/A</definedName>
    <definedName name="Slicer_Product_Category">#N/A</definedName>
    <definedName name="Slicer_Region">#N/A</definedName>
    <definedName name="Slicer_Sales_Rep">#N/A</definedName>
    <definedName name="Slicer_Satisfaction_Score">#N/A</definedName>
  </definedNames>
  <calcPr calcId="191029"/>
  <pivotCaches>
    <pivotCache cacheId="0" r:id="rId7"/>
    <pivotCache cacheId="1" r:id="rId8"/>
    <pivotCache cacheId="4"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3" l="1"/>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2" i="3"/>
  <c r="M10" i="3"/>
  <c r="M2" i="3"/>
  <c r="M3" i="3"/>
  <c r="M4" i="3"/>
  <c r="M5" i="3"/>
  <c r="M6" i="3"/>
  <c r="M7" i="3"/>
  <c r="M8" i="3"/>
  <c r="M9"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2"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2" i="3"/>
  <c r="K6" i="2"/>
  <c r="K4" i="2"/>
  <c r="K3" i="2"/>
  <c r="K2" i="2"/>
  <c r="J39" i="2"/>
  <c r="J26" i="2"/>
  <c r="J11" i="2"/>
  <c r="M17" i="1"/>
  <c r="I11" i="1"/>
  <c r="I7"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M10" i="1"/>
  <c r="M9" i="1"/>
  <c r="M7" i="1"/>
  <c r="M8" i="1" s="1"/>
  <c r="M6"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I2"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I3" i="1"/>
  <c r="I4" i="1"/>
  <c r="I5" i="1"/>
  <c r="I6" i="1"/>
  <c r="I8" i="1"/>
  <c r="I9" i="1"/>
  <c r="I10"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S20" i="3"/>
  <c r="S19" i="3"/>
  <c r="S18" i="3"/>
  <c r="S17" i="3"/>
  <c r="K39" i="2"/>
  <c r="K26" i="2"/>
  <c r="L2" i="2"/>
  <c r="L3" i="2"/>
  <c r="L4" i="2"/>
</calcChain>
</file>

<file path=xl/sharedStrings.xml><?xml version="1.0" encoding="utf-8"?>
<sst xmlns="http://schemas.openxmlformats.org/spreadsheetml/2006/main" count="1514" uniqueCount="167">
  <si>
    <t>Date</t>
  </si>
  <si>
    <t>Region</t>
  </si>
  <si>
    <t>Sales Rep</t>
  </si>
  <si>
    <t>Product Category</t>
  </si>
  <si>
    <t>Units Sold</t>
  </si>
  <si>
    <t>Sales Revenue</t>
  </si>
  <si>
    <t>Profit</t>
  </si>
  <si>
    <t>East</t>
  </si>
  <si>
    <t>West</t>
  </si>
  <si>
    <t>North</t>
  </si>
  <si>
    <t>South</t>
  </si>
  <si>
    <t>Rep A</t>
  </si>
  <si>
    <t>Rep D</t>
  </si>
  <si>
    <t>Rep E</t>
  </si>
  <si>
    <t>Rep C</t>
  </si>
  <si>
    <t>Rep B</t>
  </si>
  <si>
    <t>Grocery</t>
  </si>
  <si>
    <t>Electronics</t>
  </si>
  <si>
    <t>Clothing</t>
  </si>
  <si>
    <t>Furniture</t>
  </si>
  <si>
    <t>Respondent ID</t>
  </si>
  <si>
    <t>Age</t>
  </si>
  <si>
    <t>Gender</t>
  </si>
  <si>
    <t>Occupation</t>
  </si>
  <si>
    <t>Product Awareness</t>
  </si>
  <si>
    <t>Satisfaction Score</t>
  </si>
  <si>
    <t>Likelihood to Recommend</t>
  </si>
  <si>
    <t>Female</t>
  </si>
  <si>
    <t>Male</t>
  </si>
  <si>
    <t>Other</t>
  </si>
  <si>
    <t>Student</t>
  </si>
  <si>
    <t>Entrepreneur</t>
  </si>
  <si>
    <t>Retired</t>
  </si>
  <si>
    <t>Professional</t>
  </si>
  <si>
    <t>No</t>
  </si>
  <si>
    <t>Yes</t>
  </si>
  <si>
    <t>Campaign ID</t>
  </si>
  <si>
    <t>Channel</t>
  </si>
  <si>
    <t>Spend</t>
  </si>
  <si>
    <t>Impressions</t>
  </si>
  <si>
    <t>Clicks</t>
  </si>
  <si>
    <t>Conversions</t>
  </si>
  <si>
    <t>Sales Generated</t>
  </si>
  <si>
    <t>CMP-20</t>
  </si>
  <si>
    <t>CMP-14</t>
  </si>
  <si>
    <t>CMP-27</t>
  </si>
  <si>
    <t>CMP-29</t>
  </si>
  <si>
    <t>CMP-15</t>
  </si>
  <si>
    <t>CMP-28</t>
  </si>
  <si>
    <t>CMP-3</t>
  </si>
  <si>
    <t>CMP-8</t>
  </si>
  <si>
    <t>CMP-16</t>
  </si>
  <si>
    <t>CMP-10</t>
  </si>
  <si>
    <t>CMP-4</t>
  </si>
  <si>
    <t>CMP-30</t>
  </si>
  <si>
    <t>CMP-18</t>
  </si>
  <si>
    <t>CMP-2</t>
  </si>
  <si>
    <t>CMP-17</t>
  </si>
  <si>
    <t>CMP-13</t>
  </si>
  <si>
    <t>CMP-26</t>
  </si>
  <si>
    <t>CMP-25</t>
  </si>
  <si>
    <t>CMP-11</t>
  </si>
  <si>
    <t>CMP-7</t>
  </si>
  <si>
    <t>CMP-12</t>
  </si>
  <si>
    <t>CMP-24</t>
  </si>
  <si>
    <t>CMP-22</t>
  </si>
  <si>
    <t>CMP-1</t>
  </si>
  <si>
    <t>CMP-23</t>
  </si>
  <si>
    <t>CMP-21</t>
  </si>
  <si>
    <t>CMP-9</t>
  </si>
  <si>
    <t>CMP-5</t>
  </si>
  <si>
    <t>CMP-19</t>
  </si>
  <si>
    <t>Search Ads</t>
  </si>
  <si>
    <t>TV</t>
  </si>
  <si>
    <t>Social Media</t>
  </si>
  <si>
    <t>Email</t>
  </si>
  <si>
    <t>Year</t>
  </si>
  <si>
    <t>Quarter</t>
  </si>
  <si>
    <t>*=IF([@[Sales Revenue]]=0,0,[@Profit]/[@[Sales Revenue]])</t>
  </si>
  <si>
    <t>Profitmargin</t>
  </si>
  <si>
    <t>*=IF([@[Units Sold]]=0,0,[@[Sales Revenue]]/[@[Units Sold]])</t>
  </si>
  <si>
    <t>Total Profit</t>
  </si>
  <si>
    <t>Avg Sales per Transaction</t>
  </si>
  <si>
    <t>Avg Units per Transaction</t>
  </si>
  <si>
    <t>TotalSalesRevenue</t>
  </si>
  <si>
    <r>
      <t>Profit Margin (%)</t>
    </r>
    <r>
      <rPr>
        <sz val="11"/>
        <color theme="1"/>
        <rFont val="Calibri"/>
        <family val="2"/>
        <scheme val="minor"/>
      </rPr>
      <t xml:space="preserve"> = Profit ÷ Sales Revenue × 100.</t>
    </r>
  </si>
  <si>
    <t>Profit Margin</t>
  </si>
  <si>
    <t>Sales per unit</t>
  </si>
  <si>
    <t>Sales per Unit (ARPU) = Sales Revenue ÷ Units Sold.</t>
  </si>
  <si>
    <t>Q1</t>
  </si>
  <si>
    <t>Q2</t>
  </si>
  <si>
    <t>Q3</t>
  </si>
  <si>
    <t>Grand Total</t>
  </si>
  <si>
    <t>Total unit sold</t>
  </si>
  <si>
    <t>Product Catergory</t>
  </si>
  <si>
    <t>Total Sales Revenue</t>
  </si>
  <si>
    <t>Total profit</t>
  </si>
  <si>
    <t>Number of Product Category sold</t>
  </si>
  <si>
    <t>region</t>
  </si>
  <si>
    <t>Total Units Sold</t>
  </si>
  <si>
    <t>Product category</t>
  </si>
  <si>
    <t>Quater</t>
  </si>
  <si>
    <t>Overall Total Sales Revenue</t>
  </si>
  <si>
    <t>Overall total Profit</t>
  </si>
  <si>
    <t>Awareness %</t>
  </si>
  <si>
    <t>COUNTIF(Product Awareness Range,"Yes")/COUNTA(Product Awareness Range)</t>
  </si>
  <si>
    <t>Average satisfaction score</t>
  </si>
  <si>
    <t>Average Likelihood to Recommend</t>
  </si>
  <si>
    <t>Promoters</t>
  </si>
  <si>
    <t>Passives</t>
  </si>
  <si>
    <t>Detractors</t>
  </si>
  <si>
    <t>NPS Formula</t>
  </si>
  <si>
    <t>NPS Formula: =(Promoters - Detractors)/Total * 100</t>
  </si>
  <si>
    <t>Number of Respondent ID</t>
  </si>
  <si>
    <t>Satisfaction score</t>
  </si>
  <si>
    <t>Number of Product Awareness</t>
  </si>
  <si>
    <t>Gender count</t>
  </si>
  <si>
    <t>CTR (Click-Through Rate)</t>
  </si>
  <si>
    <t>Conversion Rate (CR)</t>
  </si>
  <si>
    <t>CPC (Cost per Click)</t>
  </si>
  <si>
    <t>CPA (Cost per Acquisition/Conversion)</t>
  </si>
  <si>
    <t>ROI (Return on Investment)</t>
  </si>
  <si>
    <t>ROAS (Return on Ad Spend)</t>
  </si>
  <si>
    <t>(Clicks ÷ Impressions) × 100</t>
  </si>
  <si>
    <t>KPI</t>
  </si>
  <si>
    <t>Formula</t>
  </si>
  <si>
    <t>Why It Matters</t>
  </si>
  <si>
    <t>Measures ad engagement effectiveness. Higher CTR = better targeting/creative.</t>
  </si>
  <si>
    <t>(Conversions ÷ Clicks) × 100</t>
  </si>
  <si>
    <t>Shows how well clicks are turning into sales actions.</t>
  </si>
  <si>
    <t>Spend ÷ Clicks</t>
  </si>
  <si>
    <t>Indicates efficiency of ad spend in driving traffic.</t>
  </si>
  <si>
    <t>Spend ÷ Conversions</t>
  </si>
  <si>
    <t>Helps assess cost-efficiency of generating customers.</t>
  </si>
  <si>
    <t>(Sales Generated – Spend) ÷ Spend × 100</t>
  </si>
  <si>
    <t>Measures profitability of campaigns.</t>
  </si>
  <si>
    <t>Sales Generated ÷ Spend</t>
  </si>
  <si>
    <t>Indicates revenue returned for every $1 spent.</t>
  </si>
  <si>
    <t>Average of CTR (Click-Through Rate)</t>
  </si>
  <si>
    <t>Average of Conversion Rate (CR)</t>
  </si>
  <si>
    <t>Average of CPC (Cost per Click)</t>
  </si>
  <si>
    <t>Average of CPA (Cost per Acquisition/Conversion)</t>
  </si>
  <si>
    <t>Average of ROI (Return on Investment)</t>
  </si>
  <si>
    <t>Average of ROAS (Return on Ad Spend)</t>
  </si>
  <si>
    <t>Total Spend</t>
  </si>
  <si>
    <t>Total Impressions</t>
  </si>
  <si>
    <t>Total Clicks</t>
  </si>
  <si>
    <t>Total  Conversions</t>
  </si>
  <si>
    <t>Total Sales Generated</t>
  </si>
  <si>
    <t>Row Labels</t>
  </si>
  <si>
    <t xml:space="preserve">spent- Sales generated </t>
  </si>
  <si>
    <t>Sum of Profit</t>
  </si>
  <si>
    <t>Sum of Spend</t>
  </si>
  <si>
    <t>Sum of Sales Generated</t>
  </si>
  <si>
    <t>Profitability and ROI</t>
  </si>
  <si>
    <t>Which channels should get more budget?  --- TV</t>
  </si>
  <si>
    <t>Which campaigns drive the most revenue vs cost? -  TV</t>
  </si>
  <si>
    <t>Which ones to cut or optimize? - Search add and Email</t>
  </si>
  <si>
    <t>Engagement &amp; Behavior</t>
  </si>
  <si>
    <t>Which channel has the highest CTR → strong audience targeting?</t>
  </si>
  <si>
    <t>Average CTR</t>
  </si>
  <si>
    <t>Which has the highest CR → effective landing page/ad copy?</t>
  </si>
  <si>
    <t>Average Conversion Rate</t>
  </si>
  <si>
    <t>Are new customer acquisition costs (CPA) sustainable?</t>
  </si>
  <si>
    <t>Average CPA (Cost per Acquisition/Conversion)</t>
  </si>
  <si>
    <t>Average Spend</t>
  </si>
  <si>
    <t>Average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</si>
</sst>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quot;₹&quot;\ #,##0.00"/>
  </numFmts>
  <fonts count="10" x14ac:knownFonts="1">
    <font>
      <sz val="11"/>
      <color theme="1"/>
      <name val="Calibri"/>
      <family val="2"/>
      <scheme val="minor"/>
    </font>
    <font>
      <b/>
      <sz val="11"/>
      <color theme="1"/>
      <name val="Calibri"/>
      <family val="2"/>
      <scheme val="minor"/>
    </font>
    <font>
      <sz val="11"/>
      <color theme="1"/>
      <name val="Calibri"/>
      <family val="2"/>
      <scheme val="minor"/>
    </font>
    <font>
      <b/>
      <sz val="18"/>
      <color theme="1"/>
      <name val="Calibri"/>
      <family val="2"/>
      <scheme val="minor"/>
    </font>
    <font>
      <b/>
      <i/>
      <sz val="13.5"/>
      <color theme="1"/>
      <name val="Calibri"/>
      <family val="2"/>
      <scheme val="minor"/>
    </font>
    <font>
      <sz val="20"/>
      <color theme="1"/>
      <name val="Calibri"/>
      <family val="2"/>
      <scheme val="minor"/>
    </font>
    <font>
      <sz val="22"/>
      <color theme="1"/>
      <name val="Calibri"/>
      <family val="2"/>
      <scheme val="minor"/>
    </font>
    <font>
      <sz val="28"/>
      <color theme="1"/>
      <name val="Calibri"/>
      <family val="2"/>
      <scheme val="minor"/>
    </font>
    <font>
      <sz val="48"/>
      <color theme="1"/>
      <name val="Calibri"/>
      <family val="2"/>
      <scheme val="minor"/>
    </font>
    <font>
      <sz val="24"/>
      <color theme="1"/>
      <name val="Calibri"/>
      <family val="2"/>
      <scheme val="minor"/>
    </font>
  </fonts>
  <fills count="7">
    <fill>
      <patternFill patternType="none"/>
    </fill>
    <fill>
      <patternFill patternType="gray125"/>
    </fill>
    <fill>
      <patternFill patternType="solid">
        <fgColor theme="7"/>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3" tint="0.39997558519241921"/>
        <bgColor indexed="64"/>
      </patternFill>
    </fill>
    <fill>
      <patternFill patternType="solid">
        <fgColor theme="1"/>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39">
    <xf numFmtId="0" fontId="0" fillId="0" borderId="0" xfId="0"/>
    <xf numFmtId="0" fontId="0" fillId="0" borderId="0" xfId="0" applyAlignment="1">
      <alignment horizontal="left"/>
    </xf>
    <xf numFmtId="0" fontId="0" fillId="2" borderId="1" xfId="0" applyFill="1" applyBorder="1" applyAlignment="1">
      <alignment horizontal="left" vertical="top"/>
    </xf>
    <xf numFmtId="1" fontId="0" fillId="0" borderId="0" xfId="0" applyNumberFormat="1" applyAlignment="1">
      <alignment horizontal="left"/>
    </xf>
    <xf numFmtId="14" fontId="0" fillId="0" borderId="0" xfId="0" applyNumberFormat="1" applyAlignment="1">
      <alignment horizontal="left"/>
    </xf>
    <xf numFmtId="164" fontId="0" fillId="0" borderId="0" xfId="0" applyNumberFormat="1" applyAlignment="1">
      <alignment horizontal="left"/>
    </xf>
    <xf numFmtId="164" fontId="0" fillId="2" borderId="1" xfId="0" applyNumberFormat="1" applyFill="1" applyBorder="1" applyAlignment="1">
      <alignment horizontal="left" vertical="top"/>
    </xf>
    <xf numFmtId="10" fontId="0" fillId="2" borderId="1" xfId="0" applyNumberFormat="1" applyFill="1" applyBorder="1" applyAlignment="1">
      <alignment horizontal="left" vertical="top"/>
    </xf>
    <xf numFmtId="10" fontId="0" fillId="0" borderId="0" xfId="0" applyNumberFormat="1" applyAlignment="1">
      <alignment horizontal="left"/>
    </xf>
    <xf numFmtId="9" fontId="0" fillId="0" borderId="0" xfId="1" applyFont="1" applyAlignment="1">
      <alignment horizontal="left"/>
    </xf>
    <xf numFmtId="0" fontId="1" fillId="0" borderId="0" xfId="0" applyFont="1"/>
    <xf numFmtId="0" fontId="0" fillId="0" borderId="0" xfId="0" pivotButton="1"/>
    <xf numFmtId="1" fontId="0" fillId="0" borderId="0" xfId="0" applyNumberFormat="1"/>
    <xf numFmtId="164" fontId="0" fillId="0" borderId="0" xfId="0" applyNumberFormat="1"/>
    <xf numFmtId="9" fontId="0" fillId="0" borderId="0" xfId="0" applyNumberFormat="1"/>
    <xf numFmtId="0" fontId="0" fillId="3" borderId="0" xfId="0" pivotButton="1" applyFill="1"/>
    <xf numFmtId="0" fontId="1" fillId="0" borderId="1" xfId="0" applyFont="1" applyBorder="1" applyAlignment="1">
      <alignment horizontal="center" vertical="top"/>
    </xf>
    <xf numFmtId="2" fontId="0" fillId="0" borderId="0" xfId="0" applyNumberFormat="1"/>
    <xf numFmtId="9" fontId="0" fillId="0" borderId="0" xfId="1" applyFont="1"/>
    <xf numFmtId="0" fontId="1" fillId="0" borderId="0" xfId="0" applyFont="1" applyAlignment="1">
      <alignment horizontal="center" vertical="top"/>
    </xf>
    <xf numFmtId="0" fontId="0" fillId="0" borderId="0" xfId="0" applyAlignment="1">
      <alignment horizontal="left" indent="1"/>
    </xf>
    <xf numFmtId="0" fontId="0" fillId="0" borderId="0" xfId="0" applyAlignment="1">
      <alignment vertical="center" wrapText="1"/>
    </xf>
    <xf numFmtId="0" fontId="1" fillId="0" borderId="0" xfId="0" applyFont="1" applyAlignment="1">
      <alignment vertical="center" wrapText="1"/>
    </xf>
    <xf numFmtId="165" fontId="0" fillId="0" borderId="0" xfId="0" applyNumberFormat="1"/>
    <xf numFmtId="0" fontId="1" fillId="0" borderId="0" xfId="0" applyFont="1" applyAlignment="1">
      <alignment horizontal="center" vertical="center" wrapText="1"/>
    </xf>
    <xf numFmtId="0" fontId="3" fillId="0" borderId="0" xfId="0" applyFont="1" applyAlignment="1">
      <alignment vertical="center"/>
    </xf>
    <xf numFmtId="9" fontId="0" fillId="4" borderId="0" xfId="1" applyFont="1" applyFill="1"/>
    <xf numFmtId="9" fontId="0" fillId="4" borderId="0" xfId="1" applyFont="1" applyFill="1" applyAlignment="1">
      <alignment vertical="center" wrapText="1"/>
    </xf>
    <xf numFmtId="1" fontId="0" fillId="4" borderId="0" xfId="0" applyNumberFormat="1" applyFill="1"/>
    <xf numFmtId="1" fontId="0" fillId="4" borderId="0" xfId="0" applyNumberFormat="1" applyFill="1" applyAlignment="1">
      <alignment vertical="center" wrapText="1"/>
    </xf>
    <xf numFmtId="0" fontId="1" fillId="5" borderId="1" xfId="0" applyFont="1" applyFill="1" applyBorder="1" applyAlignment="1">
      <alignment horizontal="center" vertical="top"/>
    </xf>
    <xf numFmtId="0" fontId="4" fillId="0" borderId="0" xfId="0" applyFont="1" applyAlignment="1">
      <alignment vertical="center"/>
    </xf>
    <xf numFmtId="0" fontId="0" fillId="0" borderId="0" xfId="0" applyAlignment="1">
      <alignment horizontal="left" vertical="center" indent="1"/>
    </xf>
    <xf numFmtId="0" fontId="5" fillId="0" borderId="0" xfId="0" applyFont="1"/>
    <xf numFmtId="0" fontId="6" fillId="0" borderId="0" xfId="0" applyFont="1"/>
    <xf numFmtId="0" fontId="8" fillId="0" borderId="0" xfId="0" applyFont="1"/>
    <xf numFmtId="0" fontId="7" fillId="0" borderId="0" xfId="0" applyFont="1"/>
    <xf numFmtId="0" fontId="0" fillId="6" borderId="0" xfId="0" applyFill="1"/>
    <xf numFmtId="0" fontId="9" fillId="0" borderId="0" xfId="0" applyFont="1"/>
  </cellXfs>
  <cellStyles count="2">
    <cellStyle name="Normal" xfId="0" builtinId="0"/>
    <cellStyle name="Percent" xfId="1" builtinId="5"/>
  </cellStyles>
  <dxfs count="53">
    <dxf>
      <numFmt numFmtId="164" formatCode="&quot;₹&quot;\ #,##0"/>
    </dxf>
    <dxf>
      <numFmt numFmtId="164" formatCode="&quot;₹&quot;\ #,##0"/>
    </dxf>
    <dxf>
      <numFmt numFmtId="164" formatCode="&quot;₹&quot;\ #,##0"/>
    </dxf>
    <dxf>
      <numFmt numFmtId="167" formatCode="&quot;₹&quot;\ #,##0.0"/>
    </dxf>
    <dxf>
      <numFmt numFmtId="164" formatCode="&quot;₹&quot;\ #,##0"/>
    </dxf>
    <dxf>
      <numFmt numFmtId="167" formatCode="&quot;₹&quot;\ #,##0.0"/>
    </dxf>
    <dxf>
      <numFmt numFmtId="165" formatCode="&quot;₹&quot;\ #,##0.00"/>
    </dxf>
    <dxf>
      <numFmt numFmtId="165" formatCode="&quot;₹&quot;\ #,##0.00"/>
    </dxf>
    <dxf>
      <numFmt numFmtId="164" formatCode="&quot;₹&quot;\ #,##0"/>
    </dxf>
    <dxf>
      <numFmt numFmtId="164" formatCode="&quot;₹&quot;\ #,##0"/>
    </dxf>
    <dxf>
      <numFmt numFmtId="164" formatCode="&quot;₹&quot;\ #,##0"/>
    </dxf>
    <dxf>
      <numFmt numFmtId="164" formatCode="&quot;₹&quot;\ #,##0"/>
    </dxf>
    <dxf>
      <numFmt numFmtId="1" formatCode="0"/>
      <fill>
        <patternFill patternType="solid">
          <fgColor indexed="64"/>
          <bgColor theme="8" tint="0.59999389629810485"/>
        </patternFill>
      </fill>
    </dxf>
    <dxf>
      <numFmt numFmtId="1" formatCode="0"/>
      <fill>
        <patternFill patternType="solid">
          <fgColor indexed="64"/>
          <bgColor theme="8" tint="0.59999389629810485"/>
        </patternFill>
      </fill>
    </dxf>
    <dxf>
      <numFmt numFmtId="1" formatCode="0"/>
      <fill>
        <patternFill patternType="solid">
          <fgColor indexed="64"/>
          <bgColor theme="8" tint="0.59999389629810485"/>
        </patternFill>
      </fill>
    </dxf>
    <dxf>
      <numFmt numFmtId="1" formatCode="0"/>
      <fill>
        <patternFill patternType="solid">
          <fgColor indexed="64"/>
          <bgColor theme="8" tint="0.59999389629810485"/>
        </patternFill>
      </fill>
    </dxf>
    <dxf>
      <numFmt numFmtId="1" formatCode="0"/>
      <fill>
        <patternFill patternType="solid">
          <fgColor indexed="64"/>
          <bgColor theme="8" tint="0.59999389629810485"/>
        </patternFill>
      </fill>
    </dxf>
    <dxf>
      <numFmt numFmtId="1" formatCode="0"/>
      <fill>
        <patternFill patternType="solid">
          <fgColor indexed="64"/>
          <bgColor theme="8" tint="0.59999389629810485"/>
        </patternFill>
      </fill>
    </dxf>
    <dxf>
      <numFmt numFmtId="1" formatCode="0"/>
      <fill>
        <patternFill patternType="solid">
          <fgColor indexed="64"/>
          <bgColor theme="8" tint="0.59999389629810485"/>
        </patternFill>
      </fill>
    </dxf>
    <dxf>
      <numFmt numFmtId="164" formatCode="&quot;₹&quot;\ #,##0"/>
    </dxf>
    <dxf>
      <numFmt numFmtId="1" formatCode="0"/>
    </dxf>
    <dxf>
      <numFmt numFmtId="1" formatCode="0"/>
    </dxf>
    <dxf>
      <numFmt numFmtId="1" formatCode="0"/>
    </dxf>
    <dxf>
      <numFmt numFmtId="164" formatCode="&quot;₹&quot;\ #,##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 formatCode="0"/>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4" formatCode="0.00%"/>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64" formatCode="&quot;₹&quot;\ #,##0"/>
      <alignment horizontal="left" vertical="bottom" textRotation="0" wrapText="0" indent="0" justifyLastLine="0" shrinkToFit="0" readingOrder="0"/>
    </dxf>
    <dxf>
      <numFmt numFmtId="164" formatCode="&quot;₹&quot;\ #,##0"/>
      <alignment horizontal="left" vertical="bottom" textRotation="0" wrapText="0" indent="0" justifyLastLine="0" shrinkToFit="0" readingOrder="0"/>
    </dxf>
    <dxf>
      <numFmt numFmtId="164" formatCode="&quot;₹&quot;\ #,##0"/>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border outline="0">
        <top style="thin">
          <color auto="1"/>
        </top>
      </border>
    </dxf>
    <dxf>
      <alignment horizontal="left" vertical="bottom" textRotation="0" wrapText="0" indent="0" justifyLastLine="0" shrinkToFit="0" readingOrder="0"/>
    </dxf>
    <dxf>
      <border outline="0">
        <bottom style="thin">
          <color auto="1"/>
        </bottom>
      </border>
    </dxf>
    <dxf>
      <font>
        <b val="0"/>
        <i val="0"/>
        <strike val="0"/>
        <condense val="0"/>
        <extend val="0"/>
        <outline val="0"/>
        <shadow val="0"/>
        <u val="none"/>
        <vertAlign val="baseline"/>
        <sz val="11"/>
        <color theme="1"/>
        <name val="Calibri"/>
        <family val="2"/>
        <scheme val="minor"/>
      </font>
      <fill>
        <patternFill patternType="solid">
          <fgColor indexed="64"/>
          <bgColor theme="7"/>
        </patternFill>
      </fill>
      <alignment horizontal="left" vertical="top" textRotation="0" wrapText="0" indent="0" justifyLastLine="0" shrinkToFit="0" readingOrder="0"/>
      <border diagonalUp="0" diagonalDown="0" outline="0">
        <left style="thin">
          <color auto="1"/>
        </left>
        <right style="thin">
          <color auto="1"/>
        </right>
        <top/>
        <bottom/>
      </border>
    </dxf>
    <dxf>
      <fill>
        <patternFill>
          <bgColor theme="6" tint="0.59999389629810485"/>
        </patternFill>
      </fill>
    </dxf>
    <dxf>
      <fill>
        <patternFill patternType="solid">
          <bgColor rgb="FFFFFF00"/>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[Excel_Project_Datasets.xlsx]Sales_Performance!PivotTable1</c:name>
    <c:fmtId val="16"/>
  </c:pivotSource>
  <c:chart>
    <c:title>
      <c:tx>
        <c:rich>
          <a:bodyPr rot="0" spcFirstLastPara="1" vertOverflow="ellipsis" vert="horz" wrap="square" anchor="ctr" anchorCtr="1"/>
          <a:lstStyle/>
          <a:p>
            <a:pPr algn="ctr" rtl="0">
              <a:defRPr lang="en-IN" sz="1800" b="1" i="0" u="none" strike="noStrike" kern="1200" cap="all" spc="150" baseline="0">
                <a:solidFill>
                  <a:schemeClr val="dk1"/>
                </a:solidFill>
                <a:latin typeface="+mn-lt"/>
                <a:ea typeface="+mn-ea"/>
                <a:cs typeface="+mn-cs"/>
              </a:defRPr>
            </a:pPr>
            <a:r>
              <a:rPr lang="en-IN" sz="1800" b="1" i="0" u="none" strike="noStrike" kern="1200" cap="all" spc="150" baseline="0">
                <a:solidFill>
                  <a:schemeClr val="dk1"/>
                </a:solidFill>
                <a:latin typeface="+mn-lt"/>
                <a:ea typeface="+mn-ea"/>
                <a:cs typeface="+mn-cs"/>
              </a:rPr>
              <a:t>Quarterly Units Sold Trend</a:t>
            </a:r>
          </a:p>
        </c:rich>
      </c:tx>
      <c:overlay val="0"/>
      <c:spPr>
        <a:noFill/>
        <a:ln>
          <a:noFill/>
        </a:ln>
        <a:effectLst>
          <a:glow rad="63500">
            <a:schemeClr val="accent3">
              <a:satMod val="175000"/>
              <a:alpha val="40000"/>
            </a:schemeClr>
          </a:glow>
        </a:effectLst>
      </c:spPr>
      <c:txPr>
        <a:bodyPr rot="0" spcFirstLastPara="1" vertOverflow="ellipsis" vert="horz" wrap="square" anchor="ctr" anchorCtr="1"/>
        <a:lstStyle/>
        <a:p>
          <a:pPr algn="ctr" rtl="0">
            <a:defRPr lang="en-IN" sz="1800" b="1" i="0" u="none" strike="noStrike" kern="1200" cap="all" spc="150" baseline="0">
              <a:solidFill>
                <a:schemeClr val="dk1"/>
              </a:solidFill>
              <a:latin typeface="+mn-lt"/>
              <a:ea typeface="+mn-ea"/>
              <a:cs typeface="+mn-cs"/>
            </a:defRPr>
          </a:pPr>
          <a:endParaRPr lang="en-IN"/>
        </a:p>
      </c:txPr>
    </c:title>
    <c:autoTitleDeleted val="0"/>
    <c:pivotFmts>
      <c:pivotFmt>
        <c:idx val="0"/>
        <c:spPr>
          <a:pattFill prst="narVert">
            <a:fgClr>
              <a:schemeClr val="accent3"/>
            </a:fgClr>
            <a:bgClr>
              <a:schemeClr val="accent3">
                <a:lumMod val="20000"/>
                <a:lumOff val="80000"/>
              </a:schemeClr>
            </a:bgClr>
          </a:pattFill>
          <a:ln>
            <a:noFill/>
          </a:ln>
          <a:effectLst>
            <a:innerShdw blurRad="114300">
              <a:schemeClr val="accent3"/>
            </a:innerShdw>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3"/>
            </a:fgClr>
            <a:bgClr>
              <a:schemeClr val="accent3">
                <a:lumMod val="20000"/>
                <a:lumOff val="80000"/>
              </a:schemeClr>
            </a:bgClr>
          </a:patt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3"/>
            </a:fgClr>
            <a:bgClr>
              <a:schemeClr val="accent3">
                <a:lumMod val="20000"/>
                <a:lumOff val="80000"/>
              </a:schemeClr>
            </a:bgClr>
          </a:patt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Sales_Performance!$W$3</c:f>
              <c:strCache>
                <c:ptCount val="1"/>
                <c:pt idx="0">
                  <c:v>Total</c:v>
                </c:pt>
              </c:strCache>
            </c:strRef>
          </c:tx>
          <c:spPr>
            <a:pattFill prst="narVert">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3"/>
                </a:solidFill>
              </a:ln>
              <a:effectLst/>
            </c:spPr>
            <c:trendlineType val="linear"/>
            <c:dispRSqr val="0"/>
            <c:dispEq val="0"/>
          </c:trendline>
          <c:cat>
            <c:strRef>
              <c:f>Sales_Performance!$V$4:$V$7</c:f>
              <c:strCache>
                <c:ptCount val="3"/>
                <c:pt idx="0">
                  <c:v>Q1</c:v>
                </c:pt>
                <c:pt idx="1">
                  <c:v>Q2</c:v>
                </c:pt>
                <c:pt idx="2">
                  <c:v>Q3</c:v>
                </c:pt>
              </c:strCache>
            </c:strRef>
          </c:cat>
          <c:val>
            <c:numRef>
              <c:f>Sales_Performance!$W$4:$W$7</c:f>
              <c:numCache>
                <c:formatCode>0</c:formatCode>
                <c:ptCount val="3"/>
                <c:pt idx="0">
                  <c:v>1644</c:v>
                </c:pt>
                <c:pt idx="1">
                  <c:v>2252</c:v>
                </c:pt>
                <c:pt idx="2">
                  <c:v>1204</c:v>
                </c:pt>
              </c:numCache>
            </c:numRef>
          </c:val>
          <c:extLst>
            <c:ext xmlns:c16="http://schemas.microsoft.com/office/drawing/2014/chart" uri="{C3380CC4-5D6E-409C-BE32-E72D297353CC}">
              <c16:uniqueId val="{00000001-9194-40BC-9239-052B075B1145}"/>
            </c:ext>
          </c:extLst>
        </c:ser>
        <c:dLbls>
          <c:dLblPos val="outEnd"/>
          <c:showLegendKey val="0"/>
          <c:showVal val="1"/>
          <c:showCatName val="0"/>
          <c:showSerName val="0"/>
          <c:showPercent val="0"/>
          <c:showBubbleSize val="0"/>
        </c:dLbls>
        <c:gapWidth val="227"/>
        <c:overlap val="-48"/>
        <c:axId val="916259488"/>
        <c:axId val="916267168"/>
      </c:barChart>
      <c:catAx>
        <c:axId val="916259488"/>
        <c:scaling>
          <c:orientation val="minMax"/>
        </c:scaling>
        <c:delete val="0"/>
        <c:axPos val="l"/>
        <c:title>
          <c:tx>
            <c:rich>
              <a:bodyPr rot="-5400000" spcFirstLastPara="1" vertOverflow="ellipsis" vert="horz" wrap="square" anchor="ctr" anchorCtr="1"/>
              <a:lstStyle/>
              <a:p>
                <a:pPr algn="ctr" rtl="0">
                  <a:def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Quater</a:t>
                </a:r>
              </a:p>
            </c:rich>
          </c:tx>
          <c:overlay val="0"/>
          <c:spPr>
            <a:noFill/>
            <a:ln>
              <a:noFill/>
            </a:ln>
            <a:effectLst/>
          </c:spPr>
          <c:txPr>
            <a:bodyPr rot="-5400000" spcFirstLastPara="1" vertOverflow="ellipsis" vert="horz" wrap="square" anchor="ctr" anchorCtr="1"/>
            <a:lstStyle/>
            <a:p>
              <a:pPr algn="ctr" rtl="0">
                <a:def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lgn="ctr" rtl="0">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16267168"/>
        <c:crosses val="autoZero"/>
        <c:auto val="1"/>
        <c:lblAlgn val="ctr"/>
        <c:lblOffset val="100"/>
        <c:noMultiLvlLbl val="0"/>
      </c:catAx>
      <c:valAx>
        <c:axId val="916267168"/>
        <c:scaling>
          <c:orientation val="minMax"/>
        </c:scaling>
        <c:delete val="0"/>
        <c:axPos val="b"/>
        <c:title>
          <c:tx>
            <c:rich>
              <a:bodyPr rot="0" spcFirstLastPara="1" vertOverflow="ellipsis" vert="horz" wrap="square" anchor="ctr" anchorCtr="1"/>
              <a:lstStyle/>
              <a:p>
                <a:pPr algn="ctr" rtl="0">
                  <a:def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Total unit sold</a:t>
                </a:r>
              </a:p>
            </c:rich>
          </c:tx>
          <c:overlay val="0"/>
          <c:spPr>
            <a:noFill/>
            <a:ln>
              <a:noFill/>
            </a:ln>
            <a:effectLst/>
          </c:spPr>
          <c:txPr>
            <a:bodyPr rot="0" spcFirstLastPara="1" vertOverflow="ellipsis" vert="horz" wrap="square" anchor="ctr" anchorCtr="1"/>
            <a:lstStyle/>
            <a:p>
              <a:pPr algn="ctr" rtl="0">
                <a:def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1625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[Excel_Project_Datasets.xlsx]Sales_Performance!PivotTable2</c:name>
    <c:fmtId val="4"/>
  </c:pivotSource>
  <c:chart>
    <c:title>
      <c:tx>
        <c:rich>
          <a:bodyPr rot="0" spcFirstLastPara="1" vertOverflow="ellipsis" vert="horz" wrap="square" anchor="ctr" anchorCtr="1"/>
          <a:lstStyle/>
          <a:p>
            <a:pPr algn="ctr" rtl="0">
              <a:defRPr lang="en-IN" sz="1800" b="1" i="0" u="none" strike="noStrike" kern="1200" cap="all" spc="150" baseline="0">
                <a:solidFill>
                  <a:schemeClr val="dk1"/>
                </a:solidFill>
                <a:latin typeface="+mn-lt"/>
                <a:ea typeface="+mn-ea"/>
                <a:cs typeface="+mn-cs"/>
              </a:defRPr>
            </a:pPr>
            <a:r>
              <a:rPr lang="en-IN" sz="1800" b="1" i="0" u="none" strike="noStrike" kern="1200" cap="all" spc="150" baseline="0">
                <a:solidFill>
                  <a:schemeClr val="dk1"/>
                </a:solidFill>
                <a:latin typeface="+mn-lt"/>
                <a:ea typeface="+mn-ea"/>
                <a:cs typeface="+mn-cs"/>
              </a:rPr>
              <a:t>Total Revenue Contribution – Product Categories</a:t>
            </a:r>
          </a:p>
        </c:rich>
      </c:tx>
      <c:overlay val="0"/>
      <c:spPr>
        <a:noFill/>
        <a:ln>
          <a:noFill/>
        </a:ln>
        <a:effectLst/>
      </c:spPr>
      <c:txPr>
        <a:bodyPr rot="0" spcFirstLastPara="1" vertOverflow="ellipsis" vert="horz" wrap="square" anchor="ctr" anchorCtr="1"/>
        <a:lstStyle/>
        <a:p>
          <a:pPr algn="ctr" rtl="0">
            <a:defRPr lang="en-IN" sz="1800" b="1" i="0" u="none" strike="noStrike" kern="1200" cap="all" spc="15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Sales_Performance!$W$12</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Sales_Performance!$V$13:$V$17</c:f>
              <c:strCache>
                <c:ptCount val="4"/>
                <c:pt idx="0">
                  <c:v>Furniture</c:v>
                </c:pt>
                <c:pt idx="1">
                  <c:v>Grocery</c:v>
                </c:pt>
                <c:pt idx="2">
                  <c:v>Electronics</c:v>
                </c:pt>
                <c:pt idx="3">
                  <c:v>Clothing</c:v>
                </c:pt>
              </c:strCache>
            </c:strRef>
          </c:cat>
          <c:val>
            <c:numRef>
              <c:f>Sales_Performance!$W$13:$W$17</c:f>
              <c:numCache>
                <c:formatCode>"₹"\ #,##0</c:formatCode>
                <c:ptCount val="4"/>
                <c:pt idx="0">
                  <c:v>158668</c:v>
                </c:pt>
                <c:pt idx="1">
                  <c:v>150875</c:v>
                </c:pt>
                <c:pt idx="2">
                  <c:v>134336</c:v>
                </c:pt>
                <c:pt idx="3">
                  <c:v>106725</c:v>
                </c:pt>
              </c:numCache>
            </c:numRef>
          </c:val>
          <c:extLst>
            <c:ext xmlns:c16="http://schemas.microsoft.com/office/drawing/2014/chart" uri="{C3380CC4-5D6E-409C-BE32-E72D297353CC}">
              <c16:uniqueId val="{00000000-96B6-4DC7-8B38-6E1B77A0CAE0}"/>
            </c:ext>
          </c:extLst>
        </c:ser>
        <c:dLbls>
          <c:dLblPos val="outEnd"/>
          <c:showLegendKey val="0"/>
          <c:showVal val="1"/>
          <c:showCatName val="0"/>
          <c:showSerName val="0"/>
          <c:showPercent val="0"/>
          <c:showBubbleSize val="0"/>
        </c:dLbls>
        <c:gapWidth val="164"/>
        <c:overlap val="-22"/>
        <c:axId val="936879936"/>
        <c:axId val="936889056"/>
      </c:barChart>
      <c:catAx>
        <c:axId val="936879936"/>
        <c:scaling>
          <c:orientation val="minMax"/>
        </c:scaling>
        <c:delete val="0"/>
        <c:axPos val="b"/>
        <c:title>
          <c:tx>
            <c:rich>
              <a:bodyPr rot="0" spcFirstLastPara="1" vertOverflow="ellipsis" vert="horz" wrap="square" anchor="ctr" anchorCtr="1"/>
              <a:lstStyle/>
              <a:p>
                <a:pPr algn="ctr" rtl="0">
                  <a:def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Product category</a:t>
                </a:r>
              </a:p>
            </c:rich>
          </c:tx>
          <c:overlay val="0"/>
          <c:spPr>
            <a:noFill/>
            <a:ln>
              <a:noFill/>
            </a:ln>
            <a:effectLst/>
          </c:spPr>
          <c:txPr>
            <a:bodyPr rot="0" spcFirstLastPara="1" vertOverflow="ellipsis" vert="horz" wrap="square" anchor="ctr" anchorCtr="1"/>
            <a:lstStyle/>
            <a:p>
              <a:pPr algn="ctr" rtl="0">
                <a:def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lgn="ctr" rtl="0">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36889056"/>
        <c:crosses val="autoZero"/>
        <c:auto val="1"/>
        <c:lblAlgn val="ctr"/>
        <c:lblOffset val="100"/>
        <c:noMultiLvlLbl val="0"/>
      </c:catAx>
      <c:valAx>
        <c:axId val="936889056"/>
        <c:scaling>
          <c:orientation val="minMax"/>
        </c:scaling>
        <c:delete val="1"/>
        <c:axPos val="l"/>
        <c:title>
          <c:tx>
            <c:rich>
              <a:bodyPr rot="-5400000" spcFirstLastPara="1" vertOverflow="ellipsis" vert="horz" wrap="square" anchor="ctr" anchorCtr="1"/>
              <a:lstStyle/>
              <a:p>
                <a:pPr algn="ctr" rtl="0">
                  <a:def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Total sales Revenue</a:t>
                </a:r>
              </a:p>
            </c:rich>
          </c:tx>
          <c:overlay val="0"/>
          <c:spPr>
            <a:noFill/>
            <a:ln>
              <a:noFill/>
            </a:ln>
            <a:effectLst/>
          </c:spPr>
          <c:txPr>
            <a:bodyPr rot="-5400000" spcFirstLastPara="1" vertOverflow="ellipsis" vert="horz" wrap="square" anchor="ctr" anchorCtr="1"/>
            <a:lstStyle/>
            <a:p>
              <a:pPr algn="ctr" rtl="0">
                <a:def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quot;₹&quot;\ #,##0" sourceLinked="1"/>
        <c:majorTickMark val="none"/>
        <c:minorTickMark val="none"/>
        <c:tickLblPos val="nextTo"/>
        <c:crossAx val="93687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[Excel_Project_Datasets.xlsx]Sales_Performance!PivotTable3</c:name>
    <c:fmtId val="4"/>
  </c:pivotSource>
  <c:chart>
    <c:title>
      <c:tx>
        <c:rich>
          <a:bodyPr rot="0" spcFirstLastPara="1" vertOverflow="ellipsis" vert="horz" wrap="square" anchor="ctr" anchorCtr="1"/>
          <a:lstStyle/>
          <a:p>
            <a:pPr algn="ctr" rtl="0">
              <a:defRPr lang="en-IN" sz="1800" b="1" i="0" u="none" strike="noStrike" kern="1200" cap="all" spc="150" baseline="0">
                <a:solidFill>
                  <a:schemeClr val="dk1"/>
                </a:solidFill>
                <a:latin typeface="+mn-lt"/>
                <a:ea typeface="+mn-ea"/>
                <a:cs typeface="+mn-cs"/>
              </a:defRPr>
            </a:pPr>
            <a:r>
              <a:rPr lang="en-IN" sz="1800" b="1" i="0" u="none" strike="noStrike" kern="1200" cap="all" spc="150" baseline="0">
                <a:solidFill>
                  <a:schemeClr val="dk1"/>
                </a:solidFill>
                <a:latin typeface="+mn-lt"/>
                <a:ea typeface="+mn-ea"/>
                <a:cs typeface="+mn-cs"/>
              </a:rPr>
              <a:t>Profit Distribution across Product Categories</a:t>
            </a:r>
          </a:p>
        </c:rich>
      </c:tx>
      <c:overlay val="0"/>
      <c:spPr>
        <a:noFill/>
        <a:ln>
          <a:noFill/>
        </a:ln>
        <a:effectLst/>
      </c:spPr>
      <c:txPr>
        <a:bodyPr rot="0" spcFirstLastPara="1" vertOverflow="ellipsis" vert="horz" wrap="square" anchor="ctr" anchorCtr="1"/>
        <a:lstStyle/>
        <a:p>
          <a:pPr algn="ctr" rtl="0">
            <a:defRPr lang="en-IN" sz="1800" b="1" i="0" u="none" strike="noStrike" kern="1200" cap="all" spc="15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Sales_Performance!$W$20</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Sales_Performance!$V$21:$V$25</c:f>
              <c:strCache>
                <c:ptCount val="4"/>
                <c:pt idx="0">
                  <c:v>Furniture</c:v>
                </c:pt>
                <c:pt idx="1">
                  <c:v>Grocery</c:v>
                </c:pt>
                <c:pt idx="2">
                  <c:v>Electronics</c:v>
                </c:pt>
                <c:pt idx="3">
                  <c:v>Clothing</c:v>
                </c:pt>
              </c:strCache>
            </c:strRef>
          </c:cat>
          <c:val>
            <c:numRef>
              <c:f>Sales_Performance!$W$21:$W$25</c:f>
              <c:numCache>
                <c:formatCode>"₹"\ #,##0</c:formatCode>
                <c:ptCount val="4"/>
                <c:pt idx="0">
                  <c:v>31811.836778321667</c:v>
                </c:pt>
                <c:pt idx="1">
                  <c:v>29181.70111180055</c:v>
                </c:pt>
                <c:pt idx="2">
                  <c:v>25959.346092182775</c:v>
                </c:pt>
                <c:pt idx="3">
                  <c:v>22268.049009470982</c:v>
                </c:pt>
              </c:numCache>
            </c:numRef>
          </c:val>
          <c:extLst>
            <c:ext xmlns:c16="http://schemas.microsoft.com/office/drawing/2014/chart" uri="{C3380CC4-5D6E-409C-BE32-E72D297353CC}">
              <c16:uniqueId val="{00000000-42BF-4B32-9F15-91FB5310A4C3}"/>
            </c:ext>
          </c:extLst>
        </c:ser>
        <c:dLbls>
          <c:showLegendKey val="0"/>
          <c:showVal val="0"/>
          <c:showCatName val="0"/>
          <c:showSerName val="0"/>
          <c:showPercent val="0"/>
          <c:showBubbleSize val="0"/>
        </c:dLbls>
        <c:gapWidth val="150"/>
        <c:overlap val="100"/>
        <c:axId val="936873216"/>
        <c:axId val="936884256"/>
      </c:barChart>
      <c:catAx>
        <c:axId val="936873216"/>
        <c:scaling>
          <c:orientation val="minMax"/>
        </c:scaling>
        <c:delete val="0"/>
        <c:axPos val="b"/>
        <c:title>
          <c:tx>
            <c:rich>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Product Category</a:t>
                </a:r>
              </a:p>
            </c:rich>
          </c:tx>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lgn="ctr" rtl="0">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36884256"/>
        <c:crosses val="autoZero"/>
        <c:auto val="1"/>
        <c:lblAlgn val="ctr"/>
        <c:lblOffset val="100"/>
        <c:noMultiLvlLbl val="0"/>
      </c:catAx>
      <c:valAx>
        <c:axId val="936884256"/>
        <c:scaling>
          <c:orientation val="minMax"/>
        </c:scaling>
        <c:delete val="1"/>
        <c:axPos val="l"/>
        <c:title>
          <c:tx>
            <c:rich>
              <a:bodyPr rot="-5400000" spcFirstLastPara="1" vertOverflow="ellipsis" vert="horz" wrap="square" anchor="ctr" anchorCtr="1"/>
              <a:lstStyle/>
              <a:p>
                <a:pPr algn="ctr" rtl="0">
                  <a:def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Total Profit</a:t>
                </a:r>
              </a:p>
            </c:rich>
          </c:tx>
          <c:overlay val="0"/>
          <c:spPr>
            <a:noFill/>
            <a:ln>
              <a:noFill/>
            </a:ln>
            <a:effectLst/>
          </c:spPr>
          <c:txPr>
            <a:bodyPr rot="-5400000" spcFirstLastPara="1" vertOverflow="ellipsis" vert="horz" wrap="square" anchor="ctr" anchorCtr="1"/>
            <a:lstStyle/>
            <a:p>
              <a:pPr algn="ctr" rtl="0">
                <a:def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quot;₹&quot;\ #,##0" sourceLinked="1"/>
        <c:majorTickMark val="none"/>
        <c:minorTickMark val="none"/>
        <c:tickLblPos val="nextTo"/>
        <c:crossAx val="93687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[Excel_Project_Datasets.xlsx]Sales_Performance!PivotTable4</c:name>
    <c:fmtId val="4"/>
  </c:pivotSource>
  <c:chart>
    <c:title>
      <c:tx>
        <c:rich>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r>
              <a:rPr lang="en-IN">
                <a:solidFill>
                  <a:schemeClr val="dk1"/>
                </a:solidFill>
                <a:latin typeface="+mn-lt"/>
                <a:ea typeface="+mn-ea"/>
                <a:cs typeface="+mn-cs"/>
              </a:rPr>
              <a:t>Revenue Performance of Sales Reps</a:t>
            </a:r>
          </a:p>
          <a:p>
            <a:pPr>
              <a:defRPr>
                <a:solidFill>
                  <a:schemeClr val="dk1"/>
                </a:solidFill>
              </a:defRPr>
            </a:pPr>
            <a:endParaRPr lang="en-US"/>
          </a:p>
        </c:rich>
      </c:tx>
      <c:overlay val="0"/>
      <c:spPr>
        <a:solidFill>
          <a:schemeClr val="lt1"/>
        </a:solidFill>
        <a:ln w="25400" cap="flat" cmpd="sng" algn="ctr">
          <a:solidFill>
            <a:schemeClr val="bg1"/>
          </a:solidFill>
          <a:prstDash val="solid"/>
        </a:ln>
        <a:effectLst/>
      </c:spPr>
      <c:txPr>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4"/>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5"/>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6"/>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7"/>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s>
    <c:plotArea>
      <c:layout/>
      <c:pieChart>
        <c:varyColors val="1"/>
        <c:ser>
          <c:idx val="0"/>
          <c:order val="0"/>
          <c:tx>
            <c:strRef>
              <c:f>Sales_Performance!$W$28</c:f>
              <c:strCache>
                <c:ptCount val="1"/>
                <c:pt idx="0">
                  <c:v>Total</c:v>
                </c:pt>
              </c:strCache>
            </c:strRef>
          </c:tx>
          <c:dPt>
            <c:idx val="0"/>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1-371F-480D-A523-303D1286F2F6}"/>
              </c:ext>
            </c:extLst>
          </c:dPt>
          <c:dPt>
            <c:idx val="1"/>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3-371F-480D-A523-303D1286F2F6}"/>
              </c:ext>
            </c:extLst>
          </c:dPt>
          <c:dPt>
            <c:idx val="2"/>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5-371F-480D-A523-303D1286F2F6}"/>
              </c:ext>
            </c:extLst>
          </c:dPt>
          <c:dPt>
            <c:idx val="3"/>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7-371F-480D-A523-303D1286F2F6}"/>
              </c:ext>
            </c:extLst>
          </c:dPt>
          <c:dPt>
            <c:idx val="4"/>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09-371F-480D-A523-303D1286F2F6}"/>
              </c:ext>
            </c:extLst>
          </c:dPt>
          <c:dLbls>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Sales_Performance!$V$29:$V$34</c:f>
              <c:strCache>
                <c:ptCount val="5"/>
                <c:pt idx="0">
                  <c:v>Rep D</c:v>
                </c:pt>
                <c:pt idx="1">
                  <c:v>Rep A</c:v>
                </c:pt>
                <c:pt idx="2">
                  <c:v>Rep C</c:v>
                </c:pt>
                <c:pt idx="3">
                  <c:v>Rep B</c:v>
                </c:pt>
                <c:pt idx="4">
                  <c:v>Rep E</c:v>
                </c:pt>
              </c:strCache>
            </c:strRef>
          </c:cat>
          <c:val>
            <c:numRef>
              <c:f>Sales_Performance!$W$29:$W$34</c:f>
              <c:numCache>
                <c:formatCode>"₹"\ #,##0</c:formatCode>
                <c:ptCount val="5"/>
                <c:pt idx="0">
                  <c:v>140471</c:v>
                </c:pt>
                <c:pt idx="1">
                  <c:v>139387</c:v>
                </c:pt>
                <c:pt idx="2">
                  <c:v>110132</c:v>
                </c:pt>
                <c:pt idx="3">
                  <c:v>86844</c:v>
                </c:pt>
                <c:pt idx="4">
                  <c:v>73770</c:v>
                </c:pt>
              </c:numCache>
            </c:numRef>
          </c:val>
          <c:extLst>
            <c:ext xmlns:c16="http://schemas.microsoft.com/office/drawing/2014/chart" uri="{C3380CC4-5D6E-409C-BE32-E72D297353CC}">
              <c16:uniqueId val="{00000000-3DBA-4986-82E0-3436F79FD45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846762904636921"/>
          <c:y val="0.24664224263633713"/>
          <c:w val="0.23486570428696413"/>
          <c:h val="0.62210921551472742"/>
        </c:manualLayout>
      </c:layout>
      <c:overlay val="0"/>
      <c:spPr>
        <a:noFill/>
        <a:ln>
          <a:noFill/>
        </a:ln>
        <a:effectLst/>
      </c:spPr>
      <c:txPr>
        <a:bodyPr rot="0" spcFirstLastPara="1" vertOverflow="ellipsis" vert="horz" wrap="square" anchor="ctr" anchorCtr="1"/>
        <a:lstStyle/>
        <a:p>
          <a:pPr algn="ctr" rtl="0">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[Excel_Project_Datasets.xlsx]Sales_Performance!PivotTable6</c:name>
    <c:fmtId val="10"/>
  </c:pivotSource>
  <c:chart>
    <c:title>
      <c:tx>
        <c:rich>
          <a:bodyPr rot="0" spcFirstLastPara="1" vertOverflow="ellipsis" vert="horz" wrap="square" anchor="ctr" anchorCtr="1"/>
          <a:lstStyle/>
          <a:p>
            <a:pPr algn="ctr" rtl="0">
              <a:defRPr lang="en-IN" sz="1800" b="1" i="0" u="none" strike="noStrike" kern="1200" cap="all" spc="150" baseline="0">
                <a:solidFill>
                  <a:schemeClr val="dk1"/>
                </a:solidFill>
                <a:latin typeface="+mn-lt"/>
                <a:ea typeface="+mn-ea"/>
                <a:cs typeface="+mn-cs"/>
              </a:defRPr>
            </a:pPr>
            <a:r>
              <a:rPr lang="en-IN" sz="1800" b="1" i="0" u="none" strike="noStrike" kern="1200" cap="all" spc="150" baseline="0">
                <a:solidFill>
                  <a:schemeClr val="dk1"/>
                </a:solidFill>
                <a:latin typeface="+mn-lt"/>
                <a:ea typeface="+mn-ea"/>
                <a:cs typeface="+mn-cs"/>
              </a:rPr>
              <a:t>Number of Product Categories Sold per Sales Rep</a:t>
            </a:r>
          </a:p>
        </c:rich>
      </c:tx>
      <c:overlay val="0"/>
      <c:spPr>
        <a:noFill/>
        <a:ln>
          <a:noFill/>
        </a:ln>
        <a:effectLst/>
      </c:spPr>
      <c:txPr>
        <a:bodyPr rot="0" spcFirstLastPara="1" vertOverflow="ellipsis" vert="horz" wrap="square" anchor="ctr" anchorCtr="1"/>
        <a:lstStyle/>
        <a:p>
          <a:pPr algn="ctr" rtl="0">
            <a:defRPr lang="en-IN" sz="1800" b="1" i="0" u="none" strike="noStrike" kern="1200" cap="all" spc="150" baseline="0">
              <a:solidFill>
                <a:schemeClr val="dk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Sales_Performance!$W$46</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69F5-43A0-8FC1-B404A865FD51}"/>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69F5-43A0-8FC1-B404A865FD51}"/>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69F5-43A0-8FC1-B404A865FD51}"/>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69F5-43A0-8FC1-B404A865FD51}"/>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69F5-43A0-8FC1-B404A865FD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Sales_Performance!$V$47:$V$52</c:f>
              <c:strCache>
                <c:ptCount val="5"/>
                <c:pt idx="0">
                  <c:v>Rep A</c:v>
                </c:pt>
                <c:pt idx="1">
                  <c:v>Rep D</c:v>
                </c:pt>
                <c:pt idx="2">
                  <c:v>Rep C</c:v>
                </c:pt>
                <c:pt idx="3">
                  <c:v>Rep E</c:v>
                </c:pt>
                <c:pt idx="4">
                  <c:v>Rep B</c:v>
                </c:pt>
              </c:strCache>
            </c:strRef>
          </c:cat>
          <c:val>
            <c:numRef>
              <c:f>Sales_Performance!$W$47:$W$52</c:f>
              <c:numCache>
                <c:formatCode>General</c:formatCode>
                <c:ptCount val="5"/>
                <c:pt idx="0">
                  <c:v>51</c:v>
                </c:pt>
                <c:pt idx="1">
                  <c:v>46</c:v>
                </c:pt>
                <c:pt idx="2">
                  <c:v>44</c:v>
                </c:pt>
                <c:pt idx="3">
                  <c:v>30</c:v>
                </c:pt>
                <c:pt idx="4">
                  <c:v>29</c:v>
                </c:pt>
              </c:numCache>
            </c:numRef>
          </c:val>
          <c:extLst>
            <c:ext xmlns:c16="http://schemas.microsoft.com/office/drawing/2014/chart" uri="{C3380CC4-5D6E-409C-BE32-E72D297353CC}">
              <c16:uniqueId val="{0000000A-69F5-43A0-8FC1-B404A865FD5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2902318460192461"/>
          <c:y val="0.1706350247885681"/>
          <c:w val="0.25431014873140856"/>
          <c:h val="0.58507217847769022"/>
        </c:manualLayout>
      </c:layout>
      <c:overlay val="0"/>
      <c:spPr>
        <a:noFill/>
        <a:ln>
          <a:noFill/>
        </a:ln>
        <a:effectLst/>
      </c:spPr>
      <c:txPr>
        <a:bodyPr rot="0" spcFirstLastPara="1" vertOverflow="ellipsis" vert="horz" wrap="square" anchor="ctr" anchorCtr="1"/>
        <a:lstStyle/>
        <a:p>
          <a:pPr algn="ctr" rtl="0">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[Excel_Project_Datasets.xlsx]Sales_Performance!PivotTable7</c:name>
    <c:fmtId val="4"/>
  </c:pivotSource>
  <c:chart>
    <c:title>
      <c:tx>
        <c:rich>
          <a:bodyPr rot="0" spcFirstLastPara="1" vertOverflow="ellipsis" vert="horz" wrap="square" anchor="ctr" anchorCtr="1"/>
          <a:lstStyle/>
          <a:p>
            <a:pPr algn="ctr" rtl="0">
              <a:defRPr lang="en-IN" sz="1800" b="1" i="0" u="none" strike="noStrike" kern="1200" cap="all" spc="150" baseline="0">
                <a:solidFill>
                  <a:schemeClr val="dk1"/>
                </a:solidFill>
                <a:latin typeface="+mn-lt"/>
                <a:ea typeface="+mn-ea"/>
                <a:cs typeface="+mn-cs"/>
              </a:defRPr>
            </a:pPr>
            <a:r>
              <a:rPr lang="en-IN" sz="1800" b="1" i="0" u="none" strike="noStrike" kern="1200" cap="all" spc="150" baseline="0">
                <a:solidFill>
                  <a:schemeClr val="dk1"/>
                </a:solidFill>
                <a:latin typeface="+mn-lt"/>
                <a:ea typeface="+mn-ea"/>
                <a:cs typeface="+mn-cs"/>
              </a:rPr>
              <a:t>Region-wise Sales Performance</a:t>
            </a:r>
          </a:p>
        </c:rich>
      </c:tx>
      <c:overlay val="0"/>
      <c:spPr>
        <a:noFill/>
        <a:ln>
          <a:noFill/>
        </a:ln>
        <a:effectLst/>
      </c:spPr>
      <c:txPr>
        <a:bodyPr rot="0" spcFirstLastPara="1" vertOverflow="ellipsis" vert="horz" wrap="square" anchor="ctr" anchorCtr="1"/>
        <a:lstStyle/>
        <a:p>
          <a:pPr algn="ctr" rtl="0">
            <a:defRPr lang="en-IN" sz="1800" b="1" i="0" u="none" strike="noStrike" kern="1200" cap="all" spc="15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4"/>
            </a:fgClr>
            <a:bgClr>
              <a:schemeClr val="accent4">
                <a:lumMod val="20000"/>
                <a:lumOff val="80000"/>
              </a:schemeClr>
            </a:bgClr>
          </a:pattFill>
          <a:ln>
            <a:noFill/>
          </a:ln>
          <a:effectLst>
            <a:innerShdw blurRad="114300">
              <a:schemeClr val="accent4"/>
            </a:innerShdw>
          </a:effectLst>
        </c:spPr>
        <c:dLbl>
          <c:idx val="0"/>
          <c:layout>
            <c:manualLayout>
              <c:x val="8.3333333333333332E-3"/>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4"/>
            </a:fgClr>
            <a:bgClr>
              <a:schemeClr val="accent4">
                <a:lumMod val="20000"/>
                <a:lumOff val="80000"/>
              </a:schemeClr>
            </a:bgClr>
          </a:pattFill>
          <a:ln>
            <a:noFill/>
          </a:ln>
          <a:effectLst>
            <a:innerShdw blurRad="114300">
              <a:schemeClr val="accent4"/>
            </a:innerShdw>
          </a:effectLst>
        </c:spPr>
        <c:dLbl>
          <c:idx val="0"/>
          <c:layout>
            <c:manualLayout>
              <c:x val="-2.7777777777778798E-3"/>
              <c:y val="-0.2500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4"/>
            </a:fgClr>
            <a:bgClr>
              <a:schemeClr val="accent4">
                <a:lumMod val="20000"/>
                <a:lumOff val="80000"/>
              </a:schemeClr>
            </a:bgClr>
          </a:pattFill>
          <a:ln>
            <a:noFill/>
          </a:ln>
          <a:effectLst>
            <a:innerShdw blurRad="114300">
              <a:schemeClr val="accent4"/>
            </a:innerShdw>
          </a:effectLst>
        </c:spPr>
        <c:dLbl>
          <c:idx val="0"/>
          <c:layout>
            <c:manualLayout>
              <c:x val="-2.7777777777777779E-3"/>
              <c:y val="-0.28240740740740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pattFill prst="narHorz">
            <a:fgClr>
              <a:schemeClr val="accent4"/>
            </a:fgClr>
            <a:bgClr>
              <a:schemeClr val="accent4">
                <a:lumMod val="20000"/>
                <a:lumOff val="80000"/>
              </a:schemeClr>
            </a:bgClr>
          </a:pattFill>
          <a:ln>
            <a:noFill/>
          </a:ln>
          <a:effectLst>
            <a:innerShdw blurRad="114300">
              <a:schemeClr val="accent4"/>
            </a:innerShdw>
          </a:effectLst>
        </c:spPr>
        <c:dLbl>
          <c:idx val="0"/>
          <c:layout>
            <c:manualLayout>
              <c:x val="-8.3333333333333454E-3"/>
              <c:y val="-0.287037037037037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Sales_Performance!$W$55</c:f>
              <c:strCache>
                <c:ptCount val="1"/>
                <c:pt idx="0">
                  <c:v>Total</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dPt>
            <c:idx val="0"/>
            <c:invertIfNegative val="0"/>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4-AD65-4021-817E-6952B14ABC27}"/>
              </c:ext>
            </c:extLst>
          </c:dPt>
          <c:dPt>
            <c:idx val="1"/>
            <c:invertIfNegative val="0"/>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3-AD65-4021-817E-6952B14ABC27}"/>
              </c:ext>
            </c:extLst>
          </c:dPt>
          <c:dPt>
            <c:idx val="2"/>
            <c:invertIfNegative val="0"/>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1-AD65-4021-817E-6952B14ABC27}"/>
              </c:ext>
            </c:extLst>
          </c:dPt>
          <c:dPt>
            <c:idx val="3"/>
            <c:invertIfNegative val="0"/>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2-AD65-4021-817E-6952B14ABC27}"/>
              </c:ext>
            </c:extLst>
          </c:dPt>
          <c:dLbls>
            <c:dLbl>
              <c:idx val="0"/>
              <c:layout>
                <c:manualLayout>
                  <c:x val="-8.3333333333333454E-3"/>
                  <c:y val="-0.287037037037037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D65-4021-817E-6952B14ABC27}"/>
                </c:ext>
              </c:extLst>
            </c:dLbl>
            <c:dLbl>
              <c:idx val="1"/>
              <c:layout>
                <c:manualLayout>
                  <c:x val="-2.7777777777777779E-3"/>
                  <c:y val="-0.282407407407407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D65-4021-817E-6952B14ABC27}"/>
                </c:ext>
              </c:extLst>
            </c:dLbl>
            <c:dLbl>
              <c:idx val="2"/>
              <c:layout>
                <c:manualLayout>
                  <c:x val="8.3333333333333332E-3"/>
                  <c:y val="-0.263888888888888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D65-4021-817E-6952B14ABC27}"/>
                </c:ext>
              </c:extLst>
            </c:dLbl>
            <c:dLbl>
              <c:idx val="3"/>
              <c:layout>
                <c:manualLayout>
                  <c:x val="-2.7777777777778798E-3"/>
                  <c:y val="-0.2500000000000000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D65-4021-817E-6952B14ABC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Sales_Performance!$V$56:$V$60</c:f>
              <c:strCache>
                <c:ptCount val="4"/>
                <c:pt idx="0">
                  <c:v>East</c:v>
                </c:pt>
                <c:pt idx="1">
                  <c:v>South</c:v>
                </c:pt>
                <c:pt idx="2">
                  <c:v>West</c:v>
                </c:pt>
                <c:pt idx="3">
                  <c:v>North</c:v>
                </c:pt>
              </c:strCache>
            </c:strRef>
          </c:cat>
          <c:val>
            <c:numRef>
              <c:f>Sales_Performance!$W$56:$W$60</c:f>
              <c:numCache>
                <c:formatCode>"₹"\ #,##0</c:formatCode>
                <c:ptCount val="4"/>
                <c:pt idx="0">
                  <c:v>154838</c:v>
                </c:pt>
                <c:pt idx="1">
                  <c:v>146228</c:v>
                </c:pt>
                <c:pt idx="2">
                  <c:v>133879</c:v>
                </c:pt>
                <c:pt idx="3">
                  <c:v>115659</c:v>
                </c:pt>
              </c:numCache>
            </c:numRef>
          </c:val>
          <c:extLst>
            <c:ext xmlns:c16="http://schemas.microsoft.com/office/drawing/2014/chart" uri="{C3380CC4-5D6E-409C-BE32-E72D297353CC}">
              <c16:uniqueId val="{00000000-AD65-4021-817E-6952B14ABC27}"/>
            </c:ext>
          </c:extLst>
        </c:ser>
        <c:dLbls>
          <c:dLblPos val="ctr"/>
          <c:showLegendKey val="0"/>
          <c:showVal val="1"/>
          <c:showCatName val="0"/>
          <c:showSerName val="0"/>
          <c:showPercent val="0"/>
          <c:showBubbleSize val="0"/>
        </c:dLbls>
        <c:gapWidth val="150"/>
        <c:overlap val="100"/>
        <c:axId val="40415088"/>
        <c:axId val="190461856"/>
      </c:barChart>
      <c:catAx>
        <c:axId val="40415088"/>
        <c:scaling>
          <c:orientation val="minMax"/>
        </c:scaling>
        <c:delete val="0"/>
        <c:axPos val="b"/>
        <c:title>
          <c:tx>
            <c:rich>
              <a:bodyPr rot="0" spcFirstLastPara="1" vertOverflow="ellipsis" vert="horz" wrap="square" anchor="ctr" anchorCtr="1"/>
              <a:lstStyle/>
              <a:p>
                <a:pPr algn="ctr" rtl="0">
                  <a:def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Region</a:t>
                </a:r>
              </a:p>
            </c:rich>
          </c:tx>
          <c:overlay val="0"/>
          <c:spPr>
            <a:noFill/>
            <a:ln>
              <a:noFill/>
            </a:ln>
            <a:effectLst/>
          </c:spPr>
          <c:txPr>
            <a:bodyPr rot="0" spcFirstLastPara="1" vertOverflow="ellipsis" vert="horz" wrap="square" anchor="ctr" anchorCtr="1"/>
            <a:lstStyle/>
            <a:p>
              <a:pPr algn="ctr" rtl="0">
                <a:def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lgn="ctr" rtl="0">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0461856"/>
        <c:crosses val="autoZero"/>
        <c:auto val="1"/>
        <c:lblAlgn val="ctr"/>
        <c:lblOffset val="100"/>
        <c:noMultiLvlLbl val="0"/>
      </c:catAx>
      <c:valAx>
        <c:axId val="190461856"/>
        <c:scaling>
          <c:orientation val="minMax"/>
        </c:scaling>
        <c:delete val="1"/>
        <c:axPos val="l"/>
        <c:title>
          <c:tx>
            <c:rich>
              <a:bodyPr rot="-5400000" spcFirstLastPara="1" vertOverflow="ellipsis" vert="horz" wrap="square" anchor="ctr" anchorCtr="1"/>
              <a:lstStyle/>
              <a:p>
                <a:pPr algn="ctr" rtl="0">
                  <a:def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Total sales revenue</a:t>
                </a:r>
              </a:p>
            </c:rich>
          </c:tx>
          <c:overlay val="0"/>
          <c:spPr>
            <a:noFill/>
            <a:ln>
              <a:noFill/>
            </a:ln>
            <a:effectLst/>
          </c:spPr>
          <c:txPr>
            <a:bodyPr rot="-5400000" spcFirstLastPara="1" vertOverflow="ellipsis" vert="horz" wrap="square" anchor="ctr" anchorCtr="1"/>
            <a:lstStyle/>
            <a:p>
              <a:pPr algn="ctr" rtl="0">
                <a:def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quot;₹&quot;\ #,##0" sourceLinked="1"/>
        <c:majorTickMark val="none"/>
        <c:minorTickMark val="none"/>
        <c:tickLblPos val="nextTo"/>
        <c:crossAx val="4041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[Excel_Project_Datasets.xlsx]Sales_Performance!PivotTable8</c:name>
    <c:fmtId val="9"/>
  </c:pivotSource>
  <c:chart>
    <c:title>
      <c:tx>
        <c:rich>
          <a:bodyPr rot="0" spcFirstLastPara="1" vertOverflow="ellipsis" vert="horz" wrap="square" anchor="ctr" anchorCtr="1"/>
          <a:lstStyle/>
          <a:p>
            <a:pPr algn="ctr" rtl="0">
              <a:defRPr lang="en-IN" sz="1800" b="1" i="0" u="none" strike="noStrike" kern="1200" cap="all" spc="150" baseline="0">
                <a:solidFill>
                  <a:schemeClr val="dk1"/>
                </a:solidFill>
                <a:latin typeface="+mn-lt"/>
                <a:ea typeface="+mn-ea"/>
                <a:cs typeface="+mn-cs"/>
              </a:defRPr>
            </a:pPr>
            <a:r>
              <a:rPr lang="en-IN" sz="1800" b="1" i="0" u="none" strike="noStrike" kern="1200" cap="all" spc="150" baseline="0">
                <a:solidFill>
                  <a:schemeClr val="dk1"/>
                </a:solidFill>
                <a:latin typeface="+mn-lt"/>
                <a:ea typeface="+mn-ea"/>
                <a:cs typeface="+mn-cs"/>
              </a:rPr>
              <a:t>Quarterly Units Sold Trend</a:t>
            </a:r>
          </a:p>
        </c:rich>
      </c:tx>
      <c:overlay val="0"/>
      <c:spPr>
        <a:noFill/>
        <a:ln>
          <a:noFill/>
        </a:ln>
        <a:effectLst/>
      </c:spPr>
      <c:txPr>
        <a:bodyPr rot="0" spcFirstLastPara="1" vertOverflow="ellipsis" vert="horz" wrap="square" anchor="ctr" anchorCtr="1"/>
        <a:lstStyle/>
        <a:p>
          <a:pPr algn="ctr" rtl="0">
            <a:defRPr lang="en-IN" sz="1800" b="1" i="0" u="none" strike="noStrike" kern="1200" cap="all" spc="15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Sales_Performance!$AA$3:$AA$4</c:f>
              <c:strCache>
                <c:ptCount val="1"/>
                <c:pt idx="0">
                  <c:v>Clothing</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Sales_Performance!$Z$5:$Z$8</c:f>
              <c:strCache>
                <c:ptCount val="3"/>
                <c:pt idx="0">
                  <c:v>Q2</c:v>
                </c:pt>
                <c:pt idx="1">
                  <c:v>Q1</c:v>
                </c:pt>
                <c:pt idx="2">
                  <c:v>Q3</c:v>
                </c:pt>
              </c:strCache>
            </c:strRef>
          </c:cat>
          <c:val>
            <c:numRef>
              <c:f>Sales_Performance!$AA$5:$AA$8</c:f>
              <c:numCache>
                <c:formatCode>0</c:formatCode>
                <c:ptCount val="3"/>
                <c:pt idx="0">
                  <c:v>491</c:v>
                </c:pt>
                <c:pt idx="1">
                  <c:v>389</c:v>
                </c:pt>
                <c:pt idx="2">
                  <c:v>264</c:v>
                </c:pt>
              </c:numCache>
            </c:numRef>
          </c:val>
          <c:extLst>
            <c:ext xmlns:c16="http://schemas.microsoft.com/office/drawing/2014/chart" uri="{C3380CC4-5D6E-409C-BE32-E72D297353CC}">
              <c16:uniqueId val="{00000000-97D7-4470-871C-FD2B8E684A10}"/>
            </c:ext>
          </c:extLst>
        </c:ser>
        <c:ser>
          <c:idx val="1"/>
          <c:order val="1"/>
          <c:tx>
            <c:strRef>
              <c:f>Sales_Performance!$AB$3:$AB$4</c:f>
              <c:strCache>
                <c:ptCount val="1"/>
                <c:pt idx="0">
                  <c:v>Electronics</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Sales_Performance!$Z$5:$Z$8</c:f>
              <c:strCache>
                <c:ptCount val="3"/>
                <c:pt idx="0">
                  <c:v>Q2</c:v>
                </c:pt>
                <c:pt idx="1">
                  <c:v>Q1</c:v>
                </c:pt>
                <c:pt idx="2">
                  <c:v>Q3</c:v>
                </c:pt>
              </c:strCache>
            </c:strRef>
          </c:cat>
          <c:val>
            <c:numRef>
              <c:f>Sales_Performance!$AB$5:$AB$8</c:f>
              <c:numCache>
                <c:formatCode>0</c:formatCode>
                <c:ptCount val="3"/>
                <c:pt idx="0">
                  <c:v>482</c:v>
                </c:pt>
                <c:pt idx="1">
                  <c:v>346</c:v>
                </c:pt>
                <c:pt idx="2">
                  <c:v>266</c:v>
                </c:pt>
              </c:numCache>
            </c:numRef>
          </c:val>
          <c:extLst>
            <c:ext xmlns:c16="http://schemas.microsoft.com/office/drawing/2014/chart" uri="{C3380CC4-5D6E-409C-BE32-E72D297353CC}">
              <c16:uniqueId val="{00000007-97D7-4470-871C-FD2B8E684A10}"/>
            </c:ext>
          </c:extLst>
        </c:ser>
        <c:ser>
          <c:idx val="2"/>
          <c:order val="2"/>
          <c:tx>
            <c:strRef>
              <c:f>Sales_Performance!$AC$3:$AC$4</c:f>
              <c:strCache>
                <c:ptCount val="1"/>
                <c:pt idx="0">
                  <c:v>Furniture</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Sales_Performance!$Z$5:$Z$8</c:f>
              <c:strCache>
                <c:ptCount val="3"/>
                <c:pt idx="0">
                  <c:v>Q2</c:v>
                </c:pt>
                <c:pt idx="1">
                  <c:v>Q1</c:v>
                </c:pt>
                <c:pt idx="2">
                  <c:v>Q3</c:v>
                </c:pt>
              </c:strCache>
            </c:strRef>
          </c:cat>
          <c:val>
            <c:numRef>
              <c:f>Sales_Performance!$AC$5:$AC$8</c:f>
              <c:numCache>
                <c:formatCode>0</c:formatCode>
                <c:ptCount val="3"/>
                <c:pt idx="0">
                  <c:v>629</c:v>
                </c:pt>
                <c:pt idx="1">
                  <c:v>567</c:v>
                </c:pt>
                <c:pt idx="2">
                  <c:v>293</c:v>
                </c:pt>
              </c:numCache>
            </c:numRef>
          </c:val>
          <c:extLst>
            <c:ext xmlns:c16="http://schemas.microsoft.com/office/drawing/2014/chart" uri="{C3380CC4-5D6E-409C-BE32-E72D297353CC}">
              <c16:uniqueId val="{00000008-97D7-4470-871C-FD2B8E684A10}"/>
            </c:ext>
          </c:extLst>
        </c:ser>
        <c:ser>
          <c:idx val="3"/>
          <c:order val="3"/>
          <c:tx>
            <c:strRef>
              <c:f>Sales_Performance!$AD$3:$AD$4</c:f>
              <c:strCache>
                <c:ptCount val="1"/>
                <c:pt idx="0">
                  <c:v>Grocery</c:v>
                </c:pt>
              </c:strCache>
            </c:strRef>
          </c:tx>
          <c:spPr>
            <a:pattFill prst="narHorz">
              <a:fgClr>
                <a:schemeClr val="accent1">
                  <a:lumMod val="60000"/>
                </a:schemeClr>
              </a:fgClr>
              <a:bgClr>
                <a:schemeClr val="accent1">
                  <a:lumMod val="60000"/>
                  <a:lumMod val="20000"/>
                  <a:lumOff val="80000"/>
                </a:schemeClr>
              </a:bgClr>
            </a:pattFill>
            <a:ln>
              <a:noFill/>
            </a:ln>
            <a:effectLst>
              <a:innerShdw blurRad="114300">
                <a:schemeClr val="accent1">
                  <a:lumMod val="60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Sales_Performance!$Z$5:$Z$8</c:f>
              <c:strCache>
                <c:ptCount val="3"/>
                <c:pt idx="0">
                  <c:v>Q2</c:v>
                </c:pt>
                <c:pt idx="1">
                  <c:v>Q1</c:v>
                </c:pt>
                <c:pt idx="2">
                  <c:v>Q3</c:v>
                </c:pt>
              </c:strCache>
            </c:strRef>
          </c:cat>
          <c:val>
            <c:numRef>
              <c:f>Sales_Performance!$AD$5:$AD$8</c:f>
              <c:numCache>
                <c:formatCode>0</c:formatCode>
                <c:ptCount val="3"/>
                <c:pt idx="0">
                  <c:v>650</c:v>
                </c:pt>
                <c:pt idx="1">
                  <c:v>342</c:v>
                </c:pt>
                <c:pt idx="2">
                  <c:v>381</c:v>
                </c:pt>
              </c:numCache>
            </c:numRef>
          </c:val>
          <c:extLst>
            <c:ext xmlns:c16="http://schemas.microsoft.com/office/drawing/2014/chart" uri="{C3380CC4-5D6E-409C-BE32-E72D297353CC}">
              <c16:uniqueId val="{00000009-97D7-4470-871C-FD2B8E684A10}"/>
            </c:ext>
          </c:extLst>
        </c:ser>
        <c:dLbls>
          <c:dLblPos val="outEnd"/>
          <c:showLegendKey val="0"/>
          <c:showVal val="1"/>
          <c:showCatName val="0"/>
          <c:showSerName val="0"/>
          <c:showPercent val="0"/>
          <c:showBubbleSize val="0"/>
        </c:dLbls>
        <c:gapWidth val="164"/>
        <c:overlap val="-22"/>
        <c:axId val="1805622128"/>
        <c:axId val="1805618768"/>
      </c:barChart>
      <c:catAx>
        <c:axId val="1805622128"/>
        <c:scaling>
          <c:orientation val="minMax"/>
        </c:scaling>
        <c:delete val="0"/>
        <c:axPos val="b"/>
        <c:title>
          <c:tx>
            <c:rich>
              <a:bodyPr rot="0" spcFirstLastPara="1" vertOverflow="ellipsis" vert="horz" wrap="square" anchor="ctr" anchorCtr="1"/>
              <a:lstStyle/>
              <a:p>
                <a:pPr algn="ctr" rtl="0">
                  <a:def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Quater</a:t>
                </a:r>
              </a:p>
            </c:rich>
          </c:tx>
          <c:overlay val="0"/>
          <c:spPr>
            <a:noFill/>
            <a:ln>
              <a:noFill/>
            </a:ln>
            <a:effectLst/>
          </c:spPr>
          <c:txPr>
            <a:bodyPr rot="0" spcFirstLastPara="1" vertOverflow="ellipsis" vert="horz" wrap="square" anchor="ctr" anchorCtr="1"/>
            <a:lstStyle/>
            <a:p>
              <a:pPr algn="ctr" rtl="0">
                <a:def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lgn="ctr" rtl="0">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05618768"/>
        <c:crosses val="autoZero"/>
        <c:auto val="1"/>
        <c:lblAlgn val="ctr"/>
        <c:lblOffset val="100"/>
        <c:noMultiLvlLbl val="0"/>
      </c:catAx>
      <c:valAx>
        <c:axId val="1805618768"/>
        <c:scaling>
          <c:orientation val="minMax"/>
        </c:scaling>
        <c:delete val="1"/>
        <c:axPos val="l"/>
        <c:title>
          <c:tx>
            <c:rich>
              <a:bodyPr rot="-5400000" spcFirstLastPara="1" vertOverflow="ellipsis" vert="horz" wrap="square" anchor="ctr" anchorCtr="1"/>
              <a:lstStyle/>
              <a:p>
                <a:pPr algn="ctr" rtl="0">
                  <a:def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Total units sold(units)</a:t>
                </a:r>
              </a:p>
            </c:rich>
          </c:tx>
          <c:overlay val="0"/>
          <c:spPr>
            <a:noFill/>
            <a:ln>
              <a:noFill/>
            </a:ln>
            <a:effectLst/>
          </c:spPr>
          <c:txPr>
            <a:bodyPr rot="-5400000" spcFirstLastPara="1" vertOverflow="ellipsis" vert="horz" wrap="square" anchor="ctr" anchorCtr="1"/>
            <a:lstStyle/>
            <a:p>
              <a:pPr algn="ctr" rtl="0">
                <a:defRPr lang="en-IN"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0" sourceLinked="1"/>
        <c:majorTickMark val="none"/>
        <c:minorTickMark val="none"/>
        <c:tickLblPos val="nextTo"/>
        <c:crossAx val="180562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lgn="ctr" rtl="0">
              <a:defRPr lang="en-US" sz="1800" b="1" i="0" u="none" strike="noStrike" kern="1200" cap="all" spc="150" baseline="0">
                <a:solidFill>
                  <a:schemeClr val="dk1"/>
                </a:solidFill>
                <a:latin typeface="+mn-lt"/>
                <a:ea typeface="+mn-ea"/>
                <a:cs typeface="+mn-cs"/>
              </a:defRPr>
            </a:pPr>
            <a:r>
              <a:rPr lang="en-US" sz="1800" b="1" i="0" u="none" strike="noStrike" kern="1200" cap="all" spc="150" baseline="0">
                <a:solidFill>
                  <a:schemeClr val="dk1"/>
                </a:solidFill>
                <a:latin typeface="+mn-lt"/>
                <a:ea typeface="+mn-ea"/>
                <a:cs typeface="+mn-cs"/>
              </a:rPr>
              <a:t>Overall total Sales revenue</a:t>
            </a:r>
          </a:p>
        </c:rich>
      </c:tx>
      <c:overlay val="0"/>
      <c:spPr>
        <a:noFill/>
        <a:ln>
          <a:noFill/>
        </a:ln>
        <a:effectLst/>
      </c:spPr>
      <c:txPr>
        <a:bodyPr rot="0" spcFirstLastPara="1" vertOverflow="ellipsis" vert="horz" wrap="square" anchor="ctr" anchorCtr="1"/>
        <a:lstStyle/>
        <a:p>
          <a:pPr algn="ctr" rtl="0">
            <a:defRPr lang="en-US" sz="1800" b="1" i="0" u="none" strike="noStrike" kern="1200" cap="all" spc="150" baseline="0">
              <a:solidFill>
                <a:schemeClr val="dk1"/>
              </a:solidFill>
              <a:latin typeface="+mn-lt"/>
              <a:ea typeface="+mn-ea"/>
              <a:cs typeface="+mn-cs"/>
            </a:defRPr>
          </a:pPr>
          <a:endParaRPr lang="en-US"/>
        </a:p>
      </c:txPr>
    </c:title>
    <c:autoTitleDeleted val="0"/>
    <c:pivotFmts>
      <c:pivotFmt>
        <c:idx val="0"/>
        <c:spPr>
          <a:pattFill prst="narHorz">
            <a:fgClr>
              <a:schemeClr val="accent4"/>
            </a:fgClr>
            <a:bgClr>
              <a:schemeClr val="accent4">
                <a:lumMod val="20000"/>
                <a:lumOff val="80000"/>
              </a:schemeClr>
            </a:bgClr>
          </a:pattFill>
          <a:ln>
            <a:noFill/>
          </a:ln>
          <a:effectLst>
            <a:innerShdw blurRad="114300">
              <a:schemeClr val="accent4"/>
            </a:innerShdw>
          </a:effectLst>
        </c:spPr>
        <c:marker>
          <c:spPr>
            <a:solidFill>
              <a:schemeClr val="accent4"/>
            </a:solidFill>
            <a:ln>
              <a:no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22203142519752911"/>
              <c:y val="0.35648148148148145"/>
            </c:manualLayout>
          </c:layout>
          <c:spPr>
            <a:noFill/>
            <a:ln>
              <a:noFill/>
            </a:ln>
            <a:effectLst/>
          </c:spPr>
          <c:txPr>
            <a:bodyPr rot="0" spcFirstLastPara="1" vertOverflow="ellipsis" vert="horz" wrap="square" lIns="38100" tIns="19050" rIns="38100" bIns="19050" anchor="ctr" anchorCtr="0">
              <a:noAutofit/>
            </a:bodyPr>
            <a:lstStyle/>
            <a:p>
              <a:pPr algn="ctr" rtl="0">
                <a:defRPr lang="en-US" sz="1600" b="1" i="0" u="none" strike="noStrike" kern="1200" cap="all" spc="15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9083308366909086"/>
                  <c:h val="0.42585666375036452"/>
                </c:manualLayout>
              </c15:layout>
            </c:ext>
          </c:extLst>
        </c:dLbl>
      </c:pivotFmt>
    </c:pivotFmts>
    <c:plotArea>
      <c:layout>
        <c:manualLayout>
          <c:layoutTarget val="inner"/>
          <c:xMode val="edge"/>
          <c:yMode val="edge"/>
          <c:x val="2.6694141696402194E-2"/>
          <c:y val="0.19432888597258677"/>
          <c:w val="0.95389193706985098"/>
          <c:h val="0.75474518810148727"/>
        </c:manualLayout>
      </c:layout>
      <c:barChart>
        <c:barDir val="col"/>
        <c:grouping val="clustered"/>
        <c:varyColors val="0"/>
        <c:ser>
          <c:idx val="0"/>
          <c:order val="0"/>
          <c:tx>
            <c:v>Total</c:v>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dLbls>
            <c:dLbl>
              <c:idx val="0"/>
              <c:layout>
                <c:manualLayout>
                  <c:x val="-0.22203142519752911"/>
                  <c:y val="0.35648148148148145"/>
                </c:manualLayout>
              </c:layout>
              <c:spPr>
                <a:noFill/>
                <a:ln>
                  <a:noFill/>
                </a:ln>
                <a:effectLst/>
              </c:spPr>
              <c:txPr>
                <a:bodyPr rot="0" spcFirstLastPara="1" vertOverflow="ellipsis" vert="horz" wrap="square" lIns="38100" tIns="19050" rIns="38100" bIns="19050" anchor="ctr" anchorCtr="0">
                  <a:noAutofit/>
                </a:bodyPr>
                <a:lstStyle/>
                <a:p>
                  <a:pPr algn="ctr" rtl="0">
                    <a:defRPr lang="en-US" sz="1600" b="1" i="0" u="none" strike="noStrike" kern="1200" cap="all" spc="15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9083308366909086"/>
                      <c:h val="0.42585666375036452"/>
                    </c:manualLayout>
                  </c15:layout>
                </c:ext>
                <c:ext xmlns:c16="http://schemas.microsoft.com/office/drawing/2014/chart" uri="{C3380CC4-5D6E-409C-BE32-E72D297353CC}">
                  <c16:uniqueId val="{00000002-D73D-4EF1-B236-42A9840403C9}"/>
                </c:ext>
              </c:extLst>
            </c:dLbl>
            <c:spPr>
              <a:noFill/>
              <a:ln>
                <a:noFill/>
              </a:ln>
              <a:effectLst/>
            </c:spPr>
            <c:txPr>
              <a:bodyPr rot="0" spcFirstLastPara="1" vertOverflow="ellipsis" vert="horz" wrap="square" lIns="38100" tIns="19050" rIns="38100" bIns="19050" anchor="ctr" anchorCtr="0">
                <a:spAutoFit/>
              </a:bodyPr>
              <a:lstStyle/>
              <a:p>
                <a:pPr algn="ctr" rtl="0">
                  <a:defRPr lang="en-US" sz="1800" b="1" i="0" u="none" strike="noStrike" kern="1200" cap="all" spc="15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
              <c:pt idx="0">
                <c:v>Total</c:v>
              </c:pt>
            </c:strLit>
          </c:cat>
          <c:val>
            <c:numLit>
              <c:formatCode>General</c:formatCode>
              <c:ptCount val="1"/>
              <c:pt idx="0">
                <c:v>550604</c:v>
              </c:pt>
            </c:numLit>
          </c:val>
          <c:extLst>
            <c:ext xmlns:c16="http://schemas.microsoft.com/office/drawing/2014/chart" uri="{C3380CC4-5D6E-409C-BE32-E72D297353CC}">
              <c16:uniqueId val="{00000000-D73D-4EF1-B236-42A9840403C9}"/>
            </c:ext>
          </c:extLst>
        </c:ser>
        <c:dLbls>
          <c:dLblPos val="outEnd"/>
          <c:showLegendKey val="0"/>
          <c:showVal val="1"/>
          <c:showCatName val="0"/>
          <c:showSerName val="0"/>
          <c:showPercent val="0"/>
          <c:showBubbleSize val="0"/>
        </c:dLbls>
        <c:gapWidth val="164"/>
        <c:overlap val="-22"/>
        <c:axId val="187248848"/>
        <c:axId val="187246928"/>
      </c:barChart>
      <c:catAx>
        <c:axId val="187248848"/>
        <c:scaling>
          <c:orientation val="minMax"/>
        </c:scaling>
        <c:delete val="1"/>
        <c:axPos val="b"/>
        <c:numFmt formatCode="General" sourceLinked="1"/>
        <c:majorTickMark val="none"/>
        <c:minorTickMark val="none"/>
        <c:tickLblPos val="nextTo"/>
        <c:crossAx val="187246928"/>
        <c:crosses val="autoZero"/>
        <c:auto val="1"/>
        <c:lblAlgn val="ctr"/>
        <c:lblOffset val="100"/>
        <c:noMultiLvlLbl val="0"/>
      </c:catAx>
      <c:valAx>
        <c:axId val="187246928"/>
        <c:scaling>
          <c:orientation val="minMax"/>
        </c:scaling>
        <c:delete val="1"/>
        <c:axPos val="l"/>
        <c:numFmt formatCode="General" sourceLinked="1"/>
        <c:majorTickMark val="none"/>
        <c:minorTickMark val="none"/>
        <c:tickLblPos val="nextTo"/>
        <c:crossAx val="18724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[Excel_Project_Datasets.xlsx]Sales_Performance!PivotTable27</c:name>
    <c:fmtId val="9"/>
  </c:pivotSource>
  <c:chart>
    <c:title>
      <c:tx>
        <c:rich>
          <a:bodyPr rot="0" spcFirstLastPara="1" vertOverflow="ellipsis" vert="horz" wrap="square" anchor="ctr" anchorCtr="1"/>
          <a:lstStyle/>
          <a:p>
            <a:pPr algn="ctr" rtl="0">
              <a:defRPr lang="en-US" sz="1800" b="1" i="0" u="none" strike="noStrike" kern="1200" cap="all" spc="150" baseline="0">
                <a:solidFill>
                  <a:schemeClr val="dk1"/>
                </a:solidFill>
                <a:latin typeface="+mn-lt"/>
                <a:ea typeface="+mn-ea"/>
                <a:cs typeface="+mn-cs"/>
              </a:defRPr>
            </a:pPr>
            <a:r>
              <a:rPr lang="en-US" sz="1800" b="1" i="0" u="none" strike="noStrike" kern="1200" cap="all" spc="150" baseline="0">
                <a:solidFill>
                  <a:schemeClr val="dk1"/>
                </a:solidFill>
                <a:latin typeface="+mn-lt"/>
                <a:ea typeface="+mn-ea"/>
                <a:cs typeface="+mn-cs"/>
              </a:rPr>
              <a:t>Overall Total Profit</a:t>
            </a:r>
          </a:p>
        </c:rich>
      </c:tx>
      <c:overlay val="1"/>
      <c:spPr>
        <a:noFill/>
        <a:ln>
          <a:noFill/>
        </a:ln>
        <a:effectLst/>
      </c:spPr>
      <c:txPr>
        <a:bodyPr rot="0" spcFirstLastPara="1" vertOverflow="ellipsis" vert="horz" wrap="square" anchor="ctr" anchorCtr="1"/>
        <a:lstStyle/>
        <a:p>
          <a:pPr algn="ctr" rtl="0">
            <a:defRPr lang="en-US" sz="1800" b="1" i="0" u="none" strike="noStrike" kern="1200" cap="all" spc="150" baseline="0">
              <a:solidFill>
                <a:schemeClr val="dk1"/>
              </a:solidFill>
              <a:latin typeface="+mn-lt"/>
              <a:ea typeface="+mn-ea"/>
              <a:cs typeface="+mn-cs"/>
            </a:defRPr>
          </a:pPr>
          <a:endParaRPr lang="en-US"/>
        </a:p>
      </c:txPr>
    </c:title>
    <c:autoTitleDeleted val="0"/>
    <c:pivotFmts>
      <c:pivotFmt>
        <c:idx val="0"/>
        <c:spPr>
          <a:pattFill prst="narVert">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Sales_Performance!$O$16</c:f>
              <c:strCache>
                <c:ptCount val="1"/>
                <c:pt idx="0">
                  <c:v>Total</c:v>
                </c:pt>
              </c:strCache>
            </c:strRef>
          </c:tx>
          <c:spPr>
            <a:pattFill prst="narVert">
              <a:fgClr>
                <a:schemeClr val="accent6"/>
              </a:fgClr>
              <a:bgClr>
                <a:schemeClr val="accent6">
                  <a:lumMod val="20000"/>
                  <a:lumOff val="80000"/>
                </a:schemeClr>
              </a:bgClr>
            </a:pattFill>
            <a:ln>
              <a:noFill/>
            </a:ln>
            <a:effectLst>
              <a:innerShdw blurRad="114300">
                <a:schemeClr val="accent6"/>
              </a:inn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Sales_Performance!$O$17</c:f>
              <c:strCache>
                <c:ptCount val="1"/>
                <c:pt idx="0">
                  <c:v>Total</c:v>
                </c:pt>
              </c:strCache>
            </c:strRef>
          </c:cat>
          <c:val>
            <c:numRef>
              <c:f>Sales_Performance!$O$17</c:f>
              <c:numCache>
                <c:formatCode>"₹"\ #,##0</c:formatCode>
                <c:ptCount val="1"/>
                <c:pt idx="0">
                  <c:v>109220.93299177606</c:v>
                </c:pt>
              </c:numCache>
            </c:numRef>
          </c:val>
          <c:extLst>
            <c:ext xmlns:c16="http://schemas.microsoft.com/office/drawing/2014/chart" uri="{C3380CC4-5D6E-409C-BE32-E72D297353CC}">
              <c16:uniqueId val="{00000000-780A-46DE-BC7E-1DEA36EAD89F}"/>
            </c:ext>
          </c:extLst>
        </c:ser>
        <c:dLbls>
          <c:showLegendKey val="0"/>
          <c:showVal val="0"/>
          <c:showCatName val="0"/>
          <c:showSerName val="0"/>
          <c:showPercent val="0"/>
          <c:showBubbleSize val="0"/>
        </c:dLbls>
        <c:gapWidth val="227"/>
        <c:overlap val="-48"/>
        <c:axId val="276557968"/>
        <c:axId val="276558928"/>
      </c:barChart>
      <c:valAx>
        <c:axId val="276558928"/>
        <c:scaling>
          <c:orientation val="minMax"/>
        </c:scaling>
        <c:delete val="1"/>
        <c:axPos val="b"/>
        <c:numFmt formatCode="&quot;₹&quot;\ #,##0" sourceLinked="1"/>
        <c:majorTickMark val="none"/>
        <c:minorTickMark val="none"/>
        <c:tickLblPos val="nextTo"/>
        <c:crossAx val="276557968"/>
        <c:crosses val="autoZero"/>
        <c:crossBetween val="between"/>
      </c:valAx>
      <c:catAx>
        <c:axId val="276557968"/>
        <c:scaling>
          <c:orientation val="minMax"/>
        </c:scaling>
        <c:delete val="1"/>
        <c:axPos val="l"/>
        <c:numFmt formatCode="General" sourceLinked="1"/>
        <c:majorTickMark val="none"/>
        <c:minorTickMark val="none"/>
        <c:tickLblPos val="nextTo"/>
        <c:crossAx val="2765589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[Excel_Project_Datasets.xlsx]Sales_Performance!PivotTable28</c:name>
    <c:fmtId val="8"/>
  </c:pivotSource>
  <c:chart>
    <c:title>
      <c:tx>
        <c:rich>
          <a:bodyPr rot="0" spcFirstLastPara="1" vertOverflow="ellipsis" vert="horz" wrap="square" anchor="ctr" anchorCtr="1"/>
          <a:lstStyle/>
          <a:p>
            <a:pPr algn="ctr" rtl="0">
              <a:defRPr lang="en-US" sz="1800" b="1" i="0" u="none" strike="noStrike" kern="1200" cap="all" spc="150" baseline="0">
                <a:solidFill>
                  <a:schemeClr val="dk1"/>
                </a:solidFill>
                <a:latin typeface="+mn-lt"/>
                <a:ea typeface="+mn-ea"/>
                <a:cs typeface="+mn-cs"/>
              </a:defRPr>
            </a:pPr>
            <a:r>
              <a:rPr lang="en-US" sz="1800" b="1" i="0" u="none" strike="noStrike" kern="1200" cap="all" spc="150" baseline="0">
                <a:solidFill>
                  <a:schemeClr val="dk1"/>
                </a:solidFill>
                <a:latin typeface="+mn-lt"/>
                <a:ea typeface="+mn-ea"/>
                <a:cs typeface="+mn-cs"/>
              </a:rPr>
              <a:t>Avg Sales per Transaction</a:t>
            </a:r>
          </a:p>
        </c:rich>
      </c:tx>
      <c:overlay val="0"/>
      <c:spPr>
        <a:noFill/>
        <a:ln>
          <a:noFill/>
        </a:ln>
        <a:effectLst/>
      </c:spPr>
      <c:txPr>
        <a:bodyPr rot="0" spcFirstLastPara="1" vertOverflow="ellipsis" vert="horz" wrap="square" anchor="ctr" anchorCtr="1"/>
        <a:lstStyle/>
        <a:p>
          <a:pPr algn="ctr" rtl="0">
            <a:defRPr lang="en-US" sz="1800" b="1" i="0" u="none" strike="noStrike" kern="1200" cap="all" spc="150" baseline="0">
              <a:solidFill>
                <a:schemeClr val="dk1"/>
              </a:solidFill>
              <a:latin typeface="+mn-lt"/>
              <a:ea typeface="+mn-ea"/>
              <a:cs typeface="+mn-cs"/>
            </a:defRPr>
          </a:pPr>
          <a:endParaRPr lang="en-US"/>
        </a:p>
      </c:txPr>
    </c:title>
    <c:autoTitleDeleted val="0"/>
    <c:pivotFmts>
      <c:pivotFmt>
        <c:idx val="0"/>
        <c:spPr>
          <a:pattFill prst="narVert">
            <a:fgClr>
              <a:schemeClr val="accent5"/>
            </a:fgClr>
            <a:bgClr>
              <a:schemeClr val="accent5">
                <a:lumMod val="20000"/>
                <a:lumOff val="80000"/>
              </a:schemeClr>
            </a:bgClr>
          </a:pattFill>
          <a:ln>
            <a:noFill/>
          </a:ln>
          <a:effectLst>
            <a:innerShdw blurRad="114300">
              <a:schemeClr val="accent5"/>
            </a:innerShdw>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86503948312993E-2"/>
          <c:y val="0.29469073003042762"/>
          <c:w val="0.93682699210337406"/>
          <c:h val="0.70530926996957244"/>
        </c:manualLayout>
      </c:layout>
      <c:barChart>
        <c:barDir val="bar"/>
        <c:grouping val="clustered"/>
        <c:varyColors val="0"/>
        <c:ser>
          <c:idx val="0"/>
          <c:order val="0"/>
          <c:tx>
            <c:strRef>
              <c:f>Sales_Performance!$O$19</c:f>
              <c:strCache>
                <c:ptCount val="1"/>
                <c:pt idx="0">
                  <c:v>Total</c:v>
                </c:pt>
              </c:strCache>
            </c:strRef>
          </c:tx>
          <c:spPr>
            <a:pattFill prst="narVert">
              <a:fgClr>
                <a:schemeClr val="accent5"/>
              </a:fgClr>
              <a:bgClr>
                <a:schemeClr val="accent5">
                  <a:lumMod val="20000"/>
                  <a:lumOff val="80000"/>
                </a:schemeClr>
              </a:bgClr>
            </a:pattFill>
            <a:ln>
              <a:noFill/>
            </a:ln>
            <a:effectLst>
              <a:innerShdw blurRad="114300">
                <a:schemeClr val="accent5"/>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Sales_Performance!$O$20</c:f>
              <c:strCache>
                <c:ptCount val="1"/>
                <c:pt idx="0">
                  <c:v>Total</c:v>
                </c:pt>
              </c:strCache>
            </c:strRef>
          </c:cat>
          <c:val>
            <c:numRef>
              <c:f>Sales_Performance!$O$20</c:f>
              <c:numCache>
                <c:formatCode>"₹"\ #,##0</c:formatCode>
                <c:ptCount val="1"/>
                <c:pt idx="0">
                  <c:v>2753.02</c:v>
                </c:pt>
              </c:numCache>
            </c:numRef>
          </c:val>
          <c:extLst>
            <c:ext xmlns:c16="http://schemas.microsoft.com/office/drawing/2014/chart" uri="{C3380CC4-5D6E-409C-BE32-E72D297353CC}">
              <c16:uniqueId val="{00000000-1C4F-46F2-96BB-361B657D8F7C}"/>
            </c:ext>
          </c:extLst>
        </c:ser>
        <c:dLbls>
          <c:dLblPos val="ctr"/>
          <c:showLegendKey val="0"/>
          <c:showVal val="1"/>
          <c:showCatName val="0"/>
          <c:showSerName val="0"/>
          <c:showPercent val="0"/>
          <c:showBubbleSize val="0"/>
        </c:dLbls>
        <c:gapWidth val="227"/>
        <c:overlap val="-48"/>
        <c:axId val="2082213120"/>
        <c:axId val="200908224"/>
      </c:barChart>
      <c:catAx>
        <c:axId val="2082213120"/>
        <c:scaling>
          <c:orientation val="minMax"/>
        </c:scaling>
        <c:delete val="1"/>
        <c:axPos val="l"/>
        <c:numFmt formatCode="General" sourceLinked="1"/>
        <c:majorTickMark val="none"/>
        <c:minorTickMark val="none"/>
        <c:tickLblPos val="nextTo"/>
        <c:crossAx val="200908224"/>
        <c:crosses val="autoZero"/>
        <c:auto val="1"/>
        <c:lblAlgn val="ctr"/>
        <c:lblOffset val="100"/>
        <c:noMultiLvlLbl val="0"/>
      </c:catAx>
      <c:valAx>
        <c:axId val="200908224"/>
        <c:scaling>
          <c:orientation val="minMax"/>
        </c:scaling>
        <c:delete val="1"/>
        <c:axPos val="b"/>
        <c:numFmt formatCode="&quot;₹&quot;\ #,##0" sourceLinked="1"/>
        <c:majorTickMark val="none"/>
        <c:minorTickMark val="none"/>
        <c:tickLblPos val="nextTo"/>
        <c:crossAx val="2082213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[Excel_Project_Datasets.xlsx]Sales_Performance!PivotTable29</c:name>
    <c:fmtId val="11"/>
  </c:pivotSource>
  <c:chart>
    <c:title>
      <c:tx>
        <c:rich>
          <a:bodyPr rot="0" spcFirstLastPara="1" vertOverflow="ellipsis" vert="horz" wrap="square" anchor="ctr" anchorCtr="1"/>
          <a:lstStyle/>
          <a:p>
            <a:pPr algn="ctr" rtl="0">
              <a:defRPr lang="en-US" sz="1800" b="1" i="0" u="none" strike="noStrike" kern="1200" cap="all" spc="150" baseline="0">
                <a:solidFill>
                  <a:schemeClr val="dk1"/>
                </a:solidFill>
                <a:latin typeface="+mn-lt"/>
                <a:ea typeface="+mn-ea"/>
                <a:cs typeface="+mn-cs"/>
              </a:defRPr>
            </a:pPr>
            <a:r>
              <a:rPr lang="en-US" sz="1800" b="1" i="0" u="none" strike="noStrike" kern="1200" cap="all" spc="150" baseline="0">
                <a:solidFill>
                  <a:schemeClr val="dk1"/>
                </a:solidFill>
                <a:latin typeface="+mn-lt"/>
                <a:ea typeface="+mn-ea"/>
                <a:cs typeface="+mn-cs"/>
              </a:rPr>
              <a:t>Avg Units per Transaction</a:t>
            </a:r>
          </a:p>
        </c:rich>
      </c:tx>
      <c:overlay val="0"/>
      <c:spPr>
        <a:noFill/>
        <a:ln>
          <a:noFill/>
        </a:ln>
        <a:effectLst/>
      </c:spPr>
      <c:txPr>
        <a:bodyPr rot="0" spcFirstLastPara="1" vertOverflow="ellipsis" vert="horz" wrap="square" anchor="ctr" anchorCtr="1"/>
        <a:lstStyle/>
        <a:p>
          <a:pPr algn="ctr" rtl="0">
            <a:defRPr lang="en-US" sz="1800" b="1" i="0" u="none" strike="noStrike" kern="1200" cap="all" spc="150" baseline="0">
              <a:solidFill>
                <a:schemeClr val="dk1"/>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800" b="1" i="0" u="none" strike="noStrike" kern="1200" cap="all" spc="15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Sales_Performance!$O$22</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800" b="1" i="0" u="none" strike="noStrike" kern="1200" cap="all" spc="15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Sales_Performance!$O$23</c:f>
              <c:strCache>
                <c:ptCount val="1"/>
                <c:pt idx="0">
                  <c:v>Total</c:v>
                </c:pt>
              </c:strCache>
            </c:strRef>
          </c:cat>
          <c:val>
            <c:numRef>
              <c:f>Sales_Performance!$O$23</c:f>
              <c:numCache>
                <c:formatCode>0</c:formatCode>
                <c:ptCount val="1"/>
                <c:pt idx="0">
                  <c:v>25.5</c:v>
                </c:pt>
              </c:numCache>
            </c:numRef>
          </c:val>
          <c:extLst>
            <c:ext xmlns:c16="http://schemas.microsoft.com/office/drawing/2014/chart" uri="{C3380CC4-5D6E-409C-BE32-E72D297353CC}">
              <c16:uniqueId val="{00000000-A409-4395-9DE7-D35C145DC937}"/>
            </c:ext>
          </c:extLst>
        </c:ser>
        <c:dLbls>
          <c:dLblPos val="outEnd"/>
          <c:showLegendKey val="0"/>
          <c:showVal val="1"/>
          <c:showCatName val="0"/>
          <c:showSerName val="0"/>
          <c:showPercent val="0"/>
          <c:showBubbleSize val="0"/>
        </c:dLbls>
        <c:gapWidth val="164"/>
        <c:axId val="290624864"/>
        <c:axId val="290633984"/>
      </c:barChart>
      <c:catAx>
        <c:axId val="290624864"/>
        <c:scaling>
          <c:orientation val="minMax"/>
        </c:scaling>
        <c:delete val="1"/>
        <c:axPos val="l"/>
        <c:numFmt formatCode="General" sourceLinked="1"/>
        <c:majorTickMark val="none"/>
        <c:minorTickMark val="none"/>
        <c:tickLblPos val="nextTo"/>
        <c:crossAx val="290633984"/>
        <c:crosses val="autoZero"/>
        <c:auto val="1"/>
        <c:lblAlgn val="ctr"/>
        <c:lblOffset val="100"/>
        <c:noMultiLvlLbl val="0"/>
      </c:catAx>
      <c:valAx>
        <c:axId val="290633984"/>
        <c:scaling>
          <c:orientation val="minMax"/>
        </c:scaling>
        <c:delete val="1"/>
        <c:axPos val="b"/>
        <c:numFmt formatCode="0" sourceLinked="1"/>
        <c:majorTickMark val="none"/>
        <c:minorTickMark val="none"/>
        <c:tickLblPos val="nextTo"/>
        <c:crossAx val="29062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Product Awareness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Survey_Data!$J$10</c:f>
              <c:strCache>
                <c:ptCount val="1"/>
                <c:pt idx="0">
                  <c:v>Awareness %</c:v>
                </c:pt>
              </c:strCache>
            </c:strRef>
          </c:tx>
          <c:spPr>
            <a:pattFill prst="narHorz">
              <a:fgClr>
                <a:schemeClr val="accent2">
                  <a:shade val="76000"/>
                </a:schemeClr>
              </a:fgClr>
              <a:bgClr>
                <a:schemeClr val="accent2">
                  <a:shade val="76000"/>
                  <a:lumMod val="20000"/>
                  <a:lumOff val="80000"/>
                </a:schemeClr>
              </a:bgClr>
            </a:pattFill>
            <a:ln>
              <a:noFill/>
            </a:ln>
            <a:effectLst>
              <a:innerShdw blurRad="114300">
                <a:schemeClr val="accent2">
                  <a:shade val="76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Survey_Data!$J$11</c:f>
              <c:numCache>
                <c:formatCode>0%</c:formatCode>
                <c:ptCount val="1"/>
                <c:pt idx="0">
                  <c:v>0.70666666666666667</c:v>
                </c:pt>
              </c:numCache>
            </c:numRef>
          </c:val>
          <c:extLst>
            <c:ext xmlns:c16="http://schemas.microsoft.com/office/drawing/2014/chart" uri="{C3380CC4-5D6E-409C-BE32-E72D297353CC}">
              <c16:uniqueId val="{00000000-43C1-4127-A660-F210A48D7F1C}"/>
            </c:ext>
          </c:extLst>
        </c:ser>
        <c:dLbls>
          <c:dLblPos val="outEnd"/>
          <c:showLegendKey val="0"/>
          <c:showVal val="1"/>
          <c:showCatName val="0"/>
          <c:showSerName val="0"/>
          <c:showPercent val="0"/>
          <c:showBubbleSize val="0"/>
        </c:dLbls>
        <c:gapWidth val="164"/>
        <c:overlap val="-22"/>
        <c:axId val="870288304"/>
        <c:axId val="870290704"/>
        <c:extLst>
          <c:ext xmlns:c15="http://schemas.microsoft.com/office/drawing/2012/chart" uri="{02D57815-91ED-43cb-92C2-25804820EDAC}">
            <c15:filteredBarSeries>
              <c15:ser>
                <c:idx val="1"/>
                <c:order val="1"/>
                <c:tx>
                  <c:strRef>
                    <c:extLst>
                      <c:ext uri="{02D57815-91ED-43cb-92C2-25804820EDAC}">
                        <c15:formulaRef>
                          <c15:sqref>Survey_Data!$K$10</c15:sqref>
                        </c15:formulaRef>
                      </c:ext>
                    </c:extLst>
                    <c:strCache>
                      <c:ptCount val="1"/>
                    </c:strCache>
                  </c:strRef>
                </c:tx>
                <c:spPr>
                  <a:pattFill prst="narHorz">
                    <a:fgClr>
                      <a:schemeClr val="accent2">
                        <a:tint val="77000"/>
                      </a:schemeClr>
                    </a:fgClr>
                    <a:bgClr>
                      <a:schemeClr val="accent2">
                        <a:tint val="77000"/>
                        <a:lumMod val="20000"/>
                        <a:lumOff val="80000"/>
                      </a:schemeClr>
                    </a:bgClr>
                  </a:pattFill>
                  <a:ln>
                    <a:noFill/>
                  </a:ln>
                  <a:effectLst>
                    <a:innerShdw blurRad="114300">
                      <a:schemeClr val="accent2">
                        <a:tint val="77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val>
                  <c:numRef>
                    <c:extLst>
                      <c:ext uri="{02D57815-91ED-43cb-92C2-25804820EDAC}">
                        <c15:formulaRef>
                          <c15:sqref>Survey_Data!$K$11</c15:sqref>
                        </c15:formulaRef>
                      </c:ext>
                    </c:extLst>
                    <c:numCache>
                      <c:formatCode>General</c:formatCode>
                      <c:ptCount val="1"/>
                      <c:pt idx="0">
                        <c:v>0</c:v>
                      </c:pt>
                    </c:numCache>
                  </c:numRef>
                </c:val>
                <c:extLst>
                  <c:ext xmlns:c16="http://schemas.microsoft.com/office/drawing/2014/chart" uri="{C3380CC4-5D6E-409C-BE32-E72D297353CC}">
                    <c16:uniqueId val="{00000001-43C1-4127-A660-F210A48D7F1C}"/>
                  </c:ext>
                </c:extLst>
              </c15:ser>
            </c15:filteredBarSeries>
          </c:ext>
        </c:extLst>
      </c:barChart>
      <c:catAx>
        <c:axId val="870288304"/>
        <c:scaling>
          <c:orientation val="minMax"/>
        </c:scaling>
        <c:delete val="1"/>
        <c:axPos val="b"/>
        <c:numFmt formatCode="General" sourceLinked="1"/>
        <c:majorTickMark val="none"/>
        <c:minorTickMark val="none"/>
        <c:tickLblPos val="nextTo"/>
        <c:crossAx val="870290704"/>
        <c:crosses val="autoZero"/>
        <c:auto val="1"/>
        <c:lblAlgn val="ctr"/>
        <c:lblOffset val="100"/>
        <c:noMultiLvlLbl val="0"/>
      </c:catAx>
      <c:valAx>
        <c:axId val="870290704"/>
        <c:scaling>
          <c:orientation val="minMax"/>
        </c:scaling>
        <c:delete val="1"/>
        <c:axPos val="l"/>
        <c:numFmt formatCode="0%" sourceLinked="1"/>
        <c:majorTickMark val="none"/>
        <c:minorTickMark val="none"/>
        <c:tickLblPos val="nextTo"/>
        <c:crossAx val="870288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Average satisfaction score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bar"/>
        <c:grouping val="clustered"/>
        <c:varyColors val="0"/>
        <c:ser>
          <c:idx val="0"/>
          <c:order val="0"/>
          <c:spPr>
            <a:pattFill prst="narVert">
              <a:fgClr>
                <a:schemeClr val="accent3">
                  <a:shade val="65000"/>
                </a:schemeClr>
              </a:fgClr>
              <a:bgClr>
                <a:schemeClr val="accent3">
                  <a:shade val="65000"/>
                  <a:lumMod val="20000"/>
                  <a:lumOff val="80000"/>
                </a:schemeClr>
              </a:bgClr>
            </a:pattFill>
            <a:ln>
              <a:noFill/>
            </a:ln>
            <a:effectLst>
              <a:innerShdw blurRad="114300">
                <a:schemeClr val="accent3">
                  <a:shade val="65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Survey_Data!$J$26</c:f>
              <c:numCache>
                <c:formatCode>0</c:formatCode>
                <c:ptCount val="1"/>
                <c:pt idx="0">
                  <c:v>3.12</c:v>
                </c:pt>
              </c:numCache>
            </c:numRef>
          </c:val>
          <c:extLst>
            <c:ext xmlns:c16="http://schemas.microsoft.com/office/drawing/2014/chart" uri="{C3380CC4-5D6E-409C-BE32-E72D297353CC}">
              <c16:uniqueId val="{00000000-2579-4E63-A90A-ECCF7750702F}"/>
            </c:ext>
          </c:extLst>
        </c:ser>
        <c:dLbls>
          <c:dLblPos val="ctr"/>
          <c:showLegendKey val="0"/>
          <c:showVal val="1"/>
          <c:showCatName val="0"/>
          <c:showSerName val="0"/>
          <c:showPercent val="0"/>
          <c:showBubbleSize val="0"/>
        </c:dLbls>
        <c:gapWidth val="227"/>
        <c:overlap val="-48"/>
        <c:axId val="870335824"/>
        <c:axId val="870335344"/>
        <c:extLst>
          <c:ext xmlns:c15="http://schemas.microsoft.com/office/drawing/2012/chart" uri="{02D57815-91ED-43cb-92C2-25804820EDAC}">
            <c15:filteredBarSeries>
              <c15:ser>
                <c:idx val="1"/>
                <c:order val="1"/>
                <c:spPr>
                  <a:pattFill prst="narVert">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val>
                  <c:numRef>
                    <c:extLst>
                      <c:ext uri="{02D57815-91ED-43cb-92C2-25804820EDAC}">
                        <c15:formulaRef>
                          <c15:sqref>Survey_Data!$K$26</c15:sqref>
                        </c15:formulaRef>
                      </c:ext>
                    </c:extLst>
                    <c:numCache>
                      <c:formatCode>General</c:formatCode>
                      <c:ptCount val="1"/>
                      <c:pt idx="0">
                        <c:v>0</c:v>
                      </c:pt>
                    </c:numCache>
                  </c:numRef>
                </c:val>
                <c:extLst>
                  <c:ext xmlns:c16="http://schemas.microsoft.com/office/drawing/2014/chart" uri="{C3380CC4-5D6E-409C-BE32-E72D297353CC}">
                    <c16:uniqueId val="{00000001-2579-4E63-A90A-ECCF7750702F}"/>
                  </c:ext>
                </c:extLst>
              </c15:ser>
            </c15:filteredBarSeries>
            <c15:filteredBarSeries>
              <c15:ser>
                <c:idx val="2"/>
                <c:order val="2"/>
                <c:spPr>
                  <a:pattFill prst="narVert">
                    <a:fgClr>
                      <a:schemeClr val="accent3">
                        <a:tint val="65000"/>
                      </a:schemeClr>
                    </a:fgClr>
                    <a:bgClr>
                      <a:schemeClr val="accent3">
                        <a:tint val="65000"/>
                        <a:lumMod val="20000"/>
                        <a:lumOff val="80000"/>
                      </a:schemeClr>
                    </a:bgClr>
                  </a:pattFill>
                  <a:ln>
                    <a:noFill/>
                  </a:ln>
                  <a:effectLst>
                    <a:innerShdw blurRad="114300">
                      <a:schemeClr val="accent3">
                        <a:tint val="65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extLst xmlns:c15="http://schemas.microsoft.com/office/drawing/2012/chart">
                      <c:ext xmlns:c15="http://schemas.microsoft.com/office/drawing/2012/chart" uri="{02D57815-91ED-43cb-92C2-25804820EDAC}">
                        <c15:formulaRef>
                          <c15:sqref>Survey_Data!$L$26</c15:sqref>
                        </c15:formulaRef>
                      </c:ext>
                    </c:extLst>
                    <c:numCache>
                      <c:formatCode>General</c:formatCode>
                      <c:ptCount val="1"/>
                      <c:pt idx="0">
                        <c:v>0</c:v>
                      </c:pt>
                    </c:numCache>
                  </c:numRef>
                </c:val>
                <c:extLst xmlns:c15="http://schemas.microsoft.com/office/drawing/2012/chart">
                  <c:ext xmlns:c16="http://schemas.microsoft.com/office/drawing/2014/chart" uri="{C3380CC4-5D6E-409C-BE32-E72D297353CC}">
                    <c16:uniqueId val="{00000002-2579-4E63-A90A-ECCF7750702F}"/>
                  </c:ext>
                </c:extLst>
              </c15:ser>
            </c15:filteredBarSeries>
          </c:ext>
        </c:extLst>
      </c:barChart>
      <c:catAx>
        <c:axId val="870335824"/>
        <c:scaling>
          <c:orientation val="minMax"/>
        </c:scaling>
        <c:delete val="1"/>
        <c:axPos val="l"/>
        <c:numFmt formatCode="General" sourceLinked="1"/>
        <c:majorTickMark val="none"/>
        <c:minorTickMark val="none"/>
        <c:tickLblPos val="nextTo"/>
        <c:crossAx val="870335344"/>
        <c:crosses val="autoZero"/>
        <c:auto val="1"/>
        <c:lblAlgn val="ctr"/>
        <c:lblOffset val="100"/>
        <c:noMultiLvlLbl val="0"/>
      </c:catAx>
      <c:valAx>
        <c:axId val="870335344"/>
        <c:scaling>
          <c:orientation val="minMax"/>
        </c:scaling>
        <c:delete val="1"/>
        <c:axPos val="b"/>
        <c:numFmt formatCode="0" sourceLinked="1"/>
        <c:majorTickMark val="none"/>
        <c:minorTickMark val="none"/>
        <c:tickLblPos val="nextTo"/>
        <c:crossAx val="870335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Average Likelihood to Recommend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spPr>
            <a:pattFill prst="narHorz">
              <a:fgClr>
                <a:schemeClr val="accent4">
                  <a:shade val="65000"/>
                </a:schemeClr>
              </a:fgClr>
              <a:bgClr>
                <a:schemeClr val="accent4">
                  <a:shade val="65000"/>
                  <a:lumMod val="20000"/>
                  <a:lumOff val="80000"/>
                </a:schemeClr>
              </a:bgClr>
            </a:pattFill>
            <a:ln>
              <a:noFill/>
            </a:ln>
            <a:effectLst>
              <a:innerShdw blurRad="114300">
                <a:schemeClr val="accent4">
                  <a:shade val="65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Survey_Data!$J$39</c:f>
              <c:numCache>
                <c:formatCode>0.00</c:formatCode>
                <c:ptCount val="1"/>
                <c:pt idx="0">
                  <c:v>4.833333333333333</c:v>
                </c:pt>
              </c:numCache>
            </c:numRef>
          </c:val>
          <c:extLst>
            <c:ext xmlns:c16="http://schemas.microsoft.com/office/drawing/2014/chart" uri="{C3380CC4-5D6E-409C-BE32-E72D297353CC}">
              <c16:uniqueId val="{00000000-F722-4602-879D-2C10CD720EFC}"/>
            </c:ext>
          </c:extLst>
        </c:ser>
        <c:dLbls>
          <c:dLblPos val="outEnd"/>
          <c:showLegendKey val="0"/>
          <c:showVal val="1"/>
          <c:showCatName val="0"/>
          <c:showSerName val="0"/>
          <c:showPercent val="0"/>
          <c:showBubbleSize val="0"/>
        </c:dLbls>
        <c:gapWidth val="164"/>
        <c:overlap val="-22"/>
        <c:axId val="870306064"/>
        <c:axId val="870304624"/>
        <c:extLst>
          <c:ext xmlns:c15="http://schemas.microsoft.com/office/drawing/2012/chart" uri="{02D57815-91ED-43cb-92C2-25804820EDAC}">
            <c15:filteredBarSeries>
              <c15:ser>
                <c:idx val="1"/>
                <c:order val="1"/>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val>
                  <c:numRef>
                    <c:extLst>
                      <c:ext uri="{02D57815-91ED-43cb-92C2-25804820EDAC}">
                        <c15:formulaRef>
                          <c15:sqref>Survey_Data!$K$39</c15:sqref>
                        </c15:formulaRef>
                      </c:ext>
                    </c:extLst>
                    <c:numCache>
                      <c:formatCode>General</c:formatCode>
                      <c:ptCount val="1"/>
                      <c:pt idx="0">
                        <c:v>0</c:v>
                      </c:pt>
                    </c:numCache>
                  </c:numRef>
                </c:val>
                <c:extLst>
                  <c:ext xmlns:c16="http://schemas.microsoft.com/office/drawing/2014/chart" uri="{C3380CC4-5D6E-409C-BE32-E72D297353CC}">
                    <c16:uniqueId val="{00000001-F722-4602-879D-2C10CD720EFC}"/>
                  </c:ext>
                </c:extLst>
              </c15:ser>
            </c15:filteredBarSeries>
            <c15:filteredBarSeries>
              <c15:ser>
                <c:idx val="2"/>
                <c:order val="2"/>
                <c:spPr>
                  <a:pattFill prst="narHorz">
                    <a:fgClr>
                      <a:schemeClr val="accent4">
                        <a:tint val="65000"/>
                      </a:schemeClr>
                    </a:fgClr>
                    <a:bgClr>
                      <a:schemeClr val="accent4">
                        <a:tint val="65000"/>
                        <a:lumMod val="20000"/>
                        <a:lumOff val="80000"/>
                      </a:schemeClr>
                    </a:bgClr>
                  </a:pattFill>
                  <a:ln>
                    <a:noFill/>
                  </a:ln>
                  <a:effectLst>
                    <a:innerShdw blurRad="114300">
                      <a:schemeClr val="accent4">
                        <a:tint val="65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extLst xmlns:c15="http://schemas.microsoft.com/office/drawing/2012/chart">
                      <c:ext xmlns:c15="http://schemas.microsoft.com/office/drawing/2012/chart" uri="{02D57815-91ED-43cb-92C2-25804820EDAC}">
                        <c15:formulaRef>
                          <c15:sqref>Survey_Data!$L$39</c15:sqref>
                        </c15:formulaRef>
                      </c:ext>
                    </c:extLst>
                    <c:numCache>
                      <c:formatCode>General</c:formatCode>
                      <c:ptCount val="1"/>
                      <c:pt idx="0">
                        <c:v>0</c:v>
                      </c:pt>
                    </c:numCache>
                  </c:numRef>
                </c:val>
                <c:extLst xmlns:c15="http://schemas.microsoft.com/office/drawing/2012/chart">
                  <c:ext xmlns:c16="http://schemas.microsoft.com/office/drawing/2014/chart" uri="{C3380CC4-5D6E-409C-BE32-E72D297353CC}">
                    <c16:uniqueId val="{00000002-F722-4602-879D-2C10CD720EFC}"/>
                  </c:ext>
                </c:extLst>
              </c15:ser>
            </c15:filteredBarSeries>
          </c:ext>
        </c:extLst>
      </c:barChart>
      <c:catAx>
        <c:axId val="870306064"/>
        <c:scaling>
          <c:orientation val="minMax"/>
        </c:scaling>
        <c:delete val="1"/>
        <c:axPos val="b"/>
        <c:numFmt formatCode="General" sourceLinked="1"/>
        <c:majorTickMark val="none"/>
        <c:minorTickMark val="none"/>
        <c:tickLblPos val="nextTo"/>
        <c:crossAx val="870304624"/>
        <c:crosses val="autoZero"/>
        <c:auto val="1"/>
        <c:lblAlgn val="ctr"/>
        <c:lblOffset val="100"/>
        <c:noMultiLvlLbl val="0"/>
      </c:catAx>
      <c:valAx>
        <c:axId val="870304624"/>
        <c:scaling>
          <c:orientation val="minMax"/>
        </c:scaling>
        <c:delete val="1"/>
        <c:axPos val="l"/>
        <c:numFmt formatCode="0.00" sourceLinked="1"/>
        <c:majorTickMark val="none"/>
        <c:minorTickMark val="none"/>
        <c:tickLblPos val="nextTo"/>
        <c:crossAx val="870306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800" b="1" i="0" u="none" strike="noStrike" kern="1200" cap="all" spc="150" baseline="0">
                <a:solidFill>
                  <a:schemeClr val="dk1"/>
                </a:solidFill>
                <a:latin typeface="+mn-lt"/>
                <a:ea typeface="+mn-ea"/>
                <a:cs typeface="+mn-cs"/>
              </a:rPr>
              <a:t>Product</a:t>
            </a:r>
            <a:r>
              <a:rPr lang="en-US"/>
              <a:t> </a:t>
            </a:r>
            <a:r>
              <a:rPr lang="en-US" sz="1800" b="1" i="0" u="none" strike="noStrike" kern="1200" cap="all" spc="150" baseline="0">
                <a:solidFill>
                  <a:schemeClr val="dk1"/>
                </a:solidFill>
                <a:latin typeface="+mn-lt"/>
                <a:ea typeface="+mn-ea"/>
                <a:cs typeface="+mn-cs"/>
              </a:rPr>
              <a:t>Awareness</a:t>
            </a:r>
            <a:r>
              <a:rPr lang="en-US"/>
              <a:t> </a:t>
            </a:r>
            <a:r>
              <a:rPr lang="en-US" sz="1800" b="1" i="0" u="none" strike="noStrike" kern="1200" cap="all" spc="150" baseline="0">
                <a:solidFill>
                  <a:schemeClr val="dk1"/>
                </a:solidFill>
                <a:latin typeface="+mn-lt"/>
                <a:ea typeface="+mn-ea"/>
                <a:cs typeface="+mn-cs"/>
              </a:rPr>
              <a: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Survey_Data!$J$10</c:f>
              <c:strCache>
                <c:ptCount val="1"/>
                <c:pt idx="0">
                  <c:v>Awareness %</c:v>
                </c:pt>
              </c:strCache>
            </c:strRef>
          </c:tx>
          <c:spPr>
            <a:pattFill prst="narHorz">
              <a:fgClr>
                <a:schemeClr val="accent2">
                  <a:shade val="76000"/>
                </a:schemeClr>
              </a:fgClr>
              <a:bgClr>
                <a:schemeClr val="accent2">
                  <a:shade val="76000"/>
                  <a:lumMod val="20000"/>
                  <a:lumOff val="80000"/>
                </a:schemeClr>
              </a:bgClr>
            </a:pattFill>
            <a:ln>
              <a:noFill/>
            </a:ln>
            <a:effectLst>
              <a:innerShdw blurRad="114300">
                <a:schemeClr val="accent2">
                  <a:shade val="76000"/>
                </a:schemeClr>
              </a:inn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cap="all" spc="15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Survey_Data!$J$11</c:f>
              <c:numCache>
                <c:formatCode>0%</c:formatCode>
                <c:ptCount val="1"/>
                <c:pt idx="0">
                  <c:v>0.70666666666666667</c:v>
                </c:pt>
              </c:numCache>
            </c:numRef>
          </c:val>
          <c:extLst>
            <c:ext xmlns:c16="http://schemas.microsoft.com/office/drawing/2014/chart" uri="{C3380CC4-5D6E-409C-BE32-E72D297353CC}">
              <c16:uniqueId val="{00000000-B508-4B30-AF33-1FF290968F87}"/>
            </c:ext>
          </c:extLst>
        </c:ser>
        <c:dLbls>
          <c:dLblPos val="outEnd"/>
          <c:showLegendKey val="0"/>
          <c:showVal val="1"/>
          <c:showCatName val="0"/>
          <c:showSerName val="0"/>
          <c:showPercent val="0"/>
          <c:showBubbleSize val="0"/>
        </c:dLbls>
        <c:gapWidth val="164"/>
        <c:overlap val="-22"/>
        <c:axId val="870288304"/>
        <c:axId val="870290704"/>
        <c:extLst>
          <c:ext xmlns:c15="http://schemas.microsoft.com/office/drawing/2012/chart" uri="{02D57815-91ED-43cb-92C2-25804820EDAC}">
            <c15:filteredBarSeries>
              <c15:ser>
                <c:idx val="1"/>
                <c:order val="1"/>
                <c:tx>
                  <c:strRef>
                    <c:extLst>
                      <c:ext uri="{02D57815-91ED-43cb-92C2-25804820EDAC}">
                        <c15:formulaRef>
                          <c15:sqref>Survey_Data!$K$10</c15:sqref>
                        </c15:formulaRef>
                      </c:ext>
                    </c:extLst>
                    <c:strCache>
                      <c:ptCount val="1"/>
                    </c:strCache>
                  </c:strRef>
                </c:tx>
                <c:spPr>
                  <a:pattFill prst="narHorz">
                    <a:fgClr>
                      <a:schemeClr val="accent2">
                        <a:tint val="77000"/>
                      </a:schemeClr>
                    </a:fgClr>
                    <a:bgClr>
                      <a:schemeClr val="accent2">
                        <a:tint val="77000"/>
                        <a:lumMod val="20000"/>
                        <a:lumOff val="80000"/>
                      </a:schemeClr>
                    </a:bgClr>
                  </a:pattFill>
                  <a:ln>
                    <a:noFill/>
                  </a:ln>
                  <a:effectLst>
                    <a:innerShdw blurRad="114300">
                      <a:schemeClr val="accent2">
                        <a:tint val="77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val>
                  <c:numRef>
                    <c:extLst>
                      <c:ext uri="{02D57815-91ED-43cb-92C2-25804820EDAC}">
                        <c15:formulaRef>
                          <c15:sqref>Survey_Data!$K$11</c15:sqref>
                        </c15:formulaRef>
                      </c:ext>
                    </c:extLst>
                    <c:numCache>
                      <c:formatCode>General</c:formatCode>
                      <c:ptCount val="1"/>
                      <c:pt idx="0">
                        <c:v>0</c:v>
                      </c:pt>
                    </c:numCache>
                  </c:numRef>
                </c:val>
                <c:extLst>
                  <c:ext xmlns:c16="http://schemas.microsoft.com/office/drawing/2014/chart" uri="{C3380CC4-5D6E-409C-BE32-E72D297353CC}">
                    <c16:uniqueId val="{00000001-B508-4B30-AF33-1FF290968F87}"/>
                  </c:ext>
                </c:extLst>
              </c15:ser>
            </c15:filteredBarSeries>
          </c:ext>
        </c:extLst>
      </c:barChart>
      <c:catAx>
        <c:axId val="870288304"/>
        <c:scaling>
          <c:orientation val="minMax"/>
        </c:scaling>
        <c:delete val="1"/>
        <c:axPos val="b"/>
        <c:numFmt formatCode="General" sourceLinked="1"/>
        <c:majorTickMark val="none"/>
        <c:minorTickMark val="none"/>
        <c:tickLblPos val="nextTo"/>
        <c:crossAx val="870290704"/>
        <c:crosses val="autoZero"/>
        <c:auto val="1"/>
        <c:lblAlgn val="ctr"/>
        <c:lblOffset val="100"/>
        <c:noMultiLvlLbl val="0"/>
      </c:catAx>
      <c:valAx>
        <c:axId val="870290704"/>
        <c:scaling>
          <c:orientation val="minMax"/>
        </c:scaling>
        <c:delete val="1"/>
        <c:axPos val="l"/>
        <c:numFmt formatCode="0%" sourceLinked="1"/>
        <c:majorTickMark val="none"/>
        <c:minorTickMark val="none"/>
        <c:tickLblPos val="nextTo"/>
        <c:crossAx val="870288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en-IN" sz="1800" b="1" i="0" u="none" strike="noStrike" kern="1200" cap="all" spc="150" baseline="0">
                <a:solidFill>
                  <a:schemeClr val="dk1"/>
                </a:solidFill>
                <a:latin typeface="+mn-lt"/>
                <a:ea typeface="+mn-ea"/>
                <a:cs typeface="+mn-cs"/>
              </a:defRPr>
            </a:pPr>
            <a:r>
              <a:rPr lang="en-IN" sz="1800" b="1" i="0" u="none" strike="noStrike" kern="1200" cap="all" spc="150" baseline="0">
                <a:solidFill>
                  <a:schemeClr val="dk1"/>
                </a:solidFill>
                <a:latin typeface="+mn-lt"/>
                <a:ea typeface="+mn-ea"/>
                <a:cs typeface="+mn-cs"/>
              </a:rPr>
              <a:t>Average satisfaction score</a:t>
            </a:r>
          </a:p>
        </c:rich>
      </c:tx>
      <c:overlay val="0"/>
      <c:spPr>
        <a:noFill/>
        <a:ln>
          <a:noFill/>
        </a:ln>
        <a:effectLst/>
      </c:spPr>
      <c:txPr>
        <a:bodyPr rot="0" spcFirstLastPara="1" vertOverflow="ellipsis" vert="horz" wrap="square" anchor="ctr" anchorCtr="1"/>
        <a:lstStyle/>
        <a:p>
          <a:pPr algn="ctr" rtl="0">
            <a:defRPr lang="en-IN" sz="1800" b="1" i="0" u="none" strike="noStrike" kern="1200" cap="all" spc="150" baseline="0">
              <a:solidFill>
                <a:schemeClr val="dk1"/>
              </a:solidFill>
              <a:latin typeface="+mn-lt"/>
              <a:ea typeface="+mn-ea"/>
              <a:cs typeface="+mn-cs"/>
            </a:defRPr>
          </a:pPr>
          <a:endParaRPr lang="en-US"/>
        </a:p>
      </c:txPr>
    </c:title>
    <c:autoTitleDeleted val="0"/>
    <c:plotArea>
      <c:layout/>
      <c:barChart>
        <c:barDir val="bar"/>
        <c:grouping val="clustered"/>
        <c:varyColors val="0"/>
        <c:ser>
          <c:idx val="0"/>
          <c:order val="0"/>
          <c:spPr>
            <a:pattFill prst="narVert">
              <a:fgClr>
                <a:schemeClr val="accent3">
                  <a:shade val="65000"/>
                </a:schemeClr>
              </a:fgClr>
              <a:bgClr>
                <a:schemeClr val="accent3">
                  <a:shade val="65000"/>
                  <a:lumMod val="20000"/>
                  <a:lumOff val="80000"/>
                </a:schemeClr>
              </a:bgClr>
            </a:pattFill>
            <a:ln>
              <a:noFill/>
            </a:ln>
            <a:effectLst>
              <a:innerShdw blurRad="114300">
                <a:schemeClr val="accent3">
                  <a:shade val="65000"/>
                </a:schemeClr>
              </a:inn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cap="all" spc="15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Survey_Data!$J$26</c:f>
              <c:numCache>
                <c:formatCode>0</c:formatCode>
                <c:ptCount val="1"/>
                <c:pt idx="0">
                  <c:v>3.12</c:v>
                </c:pt>
              </c:numCache>
            </c:numRef>
          </c:val>
          <c:extLst>
            <c:ext xmlns:c16="http://schemas.microsoft.com/office/drawing/2014/chart" uri="{C3380CC4-5D6E-409C-BE32-E72D297353CC}">
              <c16:uniqueId val="{00000000-F578-4F7F-9BF5-86C52199245A}"/>
            </c:ext>
          </c:extLst>
        </c:ser>
        <c:dLbls>
          <c:dLblPos val="ctr"/>
          <c:showLegendKey val="0"/>
          <c:showVal val="1"/>
          <c:showCatName val="0"/>
          <c:showSerName val="0"/>
          <c:showPercent val="0"/>
          <c:showBubbleSize val="0"/>
        </c:dLbls>
        <c:gapWidth val="227"/>
        <c:overlap val="-48"/>
        <c:axId val="870335824"/>
        <c:axId val="870335344"/>
        <c:extLst>
          <c:ext xmlns:c15="http://schemas.microsoft.com/office/drawing/2012/chart" uri="{02D57815-91ED-43cb-92C2-25804820EDAC}">
            <c15:filteredBarSeries>
              <c15:ser>
                <c:idx val="1"/>
                <c:order val="1"/>
                <c:spPr>
                  <a:pattFill prst="narVert">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val>
                  <c:numRef>
                    <c:extLst>
                      <c:ext uri="{02D57815-91ED-43cb-92C2-25804820EDAC}">
                        <c15:formulaRef>
                          <c15:sqref>Survey_Data!$K$26</c15:sqref>
                        </c15:formulaRef>
                      </c:ext>
                    </c:extLst>
                    <c:numCache>
                      <c:formatCode>General</c:formatCode>
                      <c:ptCount val="1"/>
                      <c:pt idx="0">
                        <c:v>0</c:v>
                      </c:pt>
                    </c:numCache>
                  </c:numRef>
                </c:val>
                <c:extLst>
                  <c:ext xmlns:c16="http://schemas.microsoft.com/office/drawing/2014/chart" uri="{C3380CC4-5D6E-409C-BE32-E72D297353CC}">
                    <c16:uniqueId val="{00000001-F578-4F7F-9BF5-86C52199245A}"/>
                  </c:ext>
                </c:extLst>
              </c15:ser>
            </c15:filteredBarSeries>
            <c15:filteredBarSeries>
              <c15:ser>
                <c:idx val="2"/>
                <c:order val="2"/>
                <c:spPr>
                  <a:pattFill prst="narVert">
                    <a:fgClr>
                      <a:schemeClr val="accent3">
                        <a:tint val="65000"/>
                      </a:schemeClr>
                    </a:fgClr>
                    <a:bgClr>
                      <a:schemeClr val="accent3">
                        <a:tint val="65000"/>
                        <a:lumMod val="20000"/>
                        <a:lumOff val="80000"/>
                      </a:schemeClr>
                    </a:bgClr>
                  </a:pattFill>
                  <a:ln>
                    <a:noFill/>
                  </a:ln>
                  <a:effectLst>
                    <a:innerShdw blurRad="114300">
                      <a:schemeClr val="accent3">
                        <a:tint val="65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extLst xmlns:c15="http://schemas.microsoft.com/office/drawing/2012/chart">
                      <c:ext xmlns:c15="http://schemas.microsoft.com/office/drawing/2012/chart" uri="{02D57815-91ED-43cb-92C2-25804820EDAC}">
                        <c15:formulaRef>
                          <c15:sqref>Survey_Data!$L$26</c15:sqref>
                        </c15:formulaRef>
                      </c:ext>
                    </c:extLst>
                    <c:numCache>
                      <c:formatCode>General</c:formatCode>
                      <c:ptCount val="1"/>
                      <c:pt idx="0">
                        <c:v>0</c:v>
                      </c:pt>
                    </c:numCache>
                  </c:numRef>
                </c:val>
                <c:extLst xmlns:c15="http://schemas.microsoft.com/office/drawing/2012/chart">
                  <c:ext xmlns:c16="http://schemas.microsoft.com/office/drawing/2014/chart" uri="{C3380CC4-5D6E-409C-BE32-E72D297353CC}">
                    <c16:uniqueId val="{00000002-F578-4F7F-9BF5-86C52199245A}"/>
                  </c:ext>
                </c:extLst>
              </c15:ser>
            </c15:filteredBarSeries>
          </c:ext>
        </c:extLst>
      </c:barChart>
      <c:catAx>
        <c:axId val="870335824"/>
        <c:scaling>
          <c:orientation val="minMax"/>
        </c:scaling>
        <c:delete val="1"/>
        <c:axPos val="l"/>
        <c:numFmt formatCode="General" sourceLinked="1"/>
        <c:majorTickMark val="none"/>
        <c:minorTickMark val="none"/>
        <c:tickLblPos val="nextTo"/>
        <c:crossAx val="870335344"/>
        <c:crosses val="autoZero"/>
        <c:auto val="1"/>
        <c:lblAlgn val="ctr"/>
        <c:lblOffset val="100"/>
        <c:noMultiLvlLbl val="0"/>
      </c:catAx>
      <c:valAx>
        <c:axId val="870335344"/>
        <c:scaling>
          <c:orientation val="minMax"/>
        </c:scaling>
        <c:delete val="1"/>
        <c:axPos val="b"/>
        <c:numFmt formatCode="0" sourceLinked="1"/>
        <c:majorTickMark val="none"/>
        <c:minorTickMark val="none"/>
        <c:tickLblPos val="nextTo"/>
        <c:crossAx val="870335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lgn="ctr" rtl="0">
              <a:defRPr lang="en-IN" sz="1800" b="1" i="0" u="none" strike="noStrike" kern="1200" cap="all" spc="150" baseline="0">
                <a:solidFill>
                  <a:schemeClr val="dk1"/>
                </a:solidFill>
                <a:latin typeface="+mn-lt"/>
                <a:ea typeface="+mn-ea"/>
                <a:cs typeface="+mn-cs"/>
              </a:defRPr>
            </a:pPr>
            <a:r>
              <a:rPr lang="en-IN" sz="1800" b="1" i="0" u="none" strike="noStrike" kern="1200" cap="all" spc="150" baseline="0">
                <a:solidFill>
                  <a:schemeClr val="dk1"/>
                </a:solidFill>
                <a:latin typeface="+mn-lt"/>
                <a:ea typeface="+mn-ea"/>
                <a:cs typeface="+mn-cs"/>
              </a:rPr>
              <a:t>Average Likelihood to Recommend</a:t>
            </a:r>
          </a:p>
        </c:rich>
      </c:tx>
      <c:overlay val="0"/>
      <c:spPr>
        <a:noFill/>
        <a:ln>
          <a:noFill/>
        </a:ln>
        <a:effectLst/>
      </c:spPr>
      <c:txPr>
        <a:bodyPr rot="0" spcFirstLastPara="1" vertOverflow="ellipsis" vert="horz" wrap="square" anchor="ctr" anchorCtr="1"/>
        <a:lstStyle/>
        <a:p>
          <a:pPr algn="ctr" rtl="0">
            <a:defRPr lang="en-IN" sz="1800" b="1" i="0" u="none" strike="noStrike" kern="1200" cap="all" spc="15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spPr>
            <a:pattFill prst="narHorz">
              <a:fgClr>
                <a:schemeClr val="accent4">
                  <a:shade val="65000"/>
                </a:schemeClr>
              </a:fgClr>
              <a:bgClr>
                <a:schemeClr val="accent4">
                  <a:shade val="65000"/>
                  <a:lumMod val="20000"/>
                  <a:lumOff val="80000"/>
                </a:schemeClr>
              </a:bgClr>
            </a:pattFill>
            <a:ln>
              <a:noFill/>
            </a:ln>
            <a:effectLst>
              <a:innerShdw blurRad="114300">
                <a:schemeClr val="accent4">
                  <a:shade val="65000"/>
                </a:schemeClr>
              </a:inn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cap="all" spc="15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Survey_Data!$J$39</c:f>
              <c:numCache>
                <c:formatCode>0.00</c:formatCode>
                <c:ptCount val="1"/>
                <c:pt idx="0">
                  <c:v>4.833333333333333</c:v>
                </c:pt>
              </c:numCache>
            </c:numRef>
          </c:val>
          <c:extLst>
            <c:ext xmlns:c16="http://schemas.microsoft.com/office/drawing/2014/chart" uri="{C3380CC4-5D6E-409C-BE32-E72D297353CC}">
              <c16:uniqueId val="{00000000-162A-4AD3-A3EC-130D8CF0C725}"/>
            </c:ext>
          </c:extLst>
        </c:ser>
        <c:dLbls>
          <c:dLblPos val="outEnd"/>
          <c:showLegendKey val="0"/>
          <c:showVal val="1"/>
          <c:showCatName val="0"/>
          <c:showSerName val="0"/>
          <c:showPercent val="0"/>
          <c:showBubbleSize val="0"/>
        </c:dLbls>
        <c:gapWidth val="164"/>
        <c:overlap val="-22"/>
        <c:axId val="870306064"/>
        <c:axId val="870304624"/>
        <c:extLst>
          <c:ext xmlns:c15="http://schemas.microsoft.com/office/drawing/2012/chart" uri="{02D57815-91ED-43cb-92C2-25804820EDAC}">
            <c15:filteredBarSeries>
              <c15:ser>
                <c:idx val="1"/>
                <c:order val="1"/>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val>
                  <c:numRef>
                    <c:extLst>
                      <c:ext uri="{02D57815-91ED-43cb-92C2-25804820EDAC}">
                        <c15:formulaRef>
                          <c15:sqref>Survey_Data!$K$39</c15:sqref>
                        </c15:formulaRef>
                      </c:ext>
                    </c:extLst>
                    <c:numCache>
                      <c:formatCode>General</c:formatCode>
                      <c:ptCount val="1"/>
                      <c:pt idx="0">
                        <c:v>0</c:v>
                      </c:pt>
                    </c:numCache>
                  </c:numRef>
                </c:val>
                <c:extLst>
                  <c:ext xmlns:c16="http://schemas.microsoft.com/office/drawing/2014/chart" uri="{C3380CC4-5D6E-409C-BE32-E72D297353CC}">
                    <c16:uniqueId val="{00000001-162A-4AD3-A3EC-130D8CF0C725}"/>
                  </c:ext>
                </c:extLst>
              </c15:ser>
            </c15:filteredBarSeries>
            <c15:filteredBarSeries>
              <c15:ser>
                <c:idx val="2"/>
                <c:order val="2"/>
                <c:spPr>
                  <a:pattFill prst="narHorz">
                    <a:fgClr>
                      <a:schemeClr val="accent4">
                        <a:tint val="65000"/>
                      </a:schemeClr>
                    </a:fgClr>
                    <a:bgClr>
                      <a:schemeClr val="accent4">
                        <a:tint val="65000"/>
                        <a:lumMod val="20000"/>
                        <a:lumOff val="80000"/>
                      </a:schemeClr>
                    </a:bgClr>
                  </a:pattFill>
                  <a:ln>
                    <a:noFill/>
                  </a:ln>
                  <a:effectLst>
                    <a:innerShdw blurRad="114300">
                      <a:schemeClr val="accent4">
                        <a:tint val="65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extLst xmlns:c15="http://schemas.microsoft.com/office/drawing/2012/chart">
                      <c:ext xmlns:c15="http://schemas.microsoft.com/office/drawing/2012/chart" uri="{02D57815-91ED-43cb-92C2-25804820EDAC}">
                        <c15:formulaRef>
                          <c15:sqref>Survey_Data!$L$39</c15:sqref>
                        </c15:formulaRef>
                      </c:ext>
                    </c:extLst>
                    <c:numCache>
                      <c:formatCode>General</c:formatCode>
                      <c:ptCount val="1"/>
                      <c:pt idx="0">
                        <c:v>0</c:v>
                      </c:pt>
                    </c:numCache>
                  </c:numRef>
                </c:val>
                <c:extLst xmlns:c15="http://schemas.microsoft.com/office/drawing/2012/chart">
                  <c:ext xmlns:c16="http://schemas.microsoft.com/office/drawing/2014/chart" uri="{C3380CC4-5D6E-409C-BE32-E72D297353CC}">
                    <c16:uniqueId val="{00000002-162A-4AD3-A3EC-130D8CF0C725}"/>
                  </c:ext>
                </c:extLst>
              </c15:ser>
            </c15:filteredBarSeries>
          </c:ext>
        </c:extLst>
      </c:barChart>
      <c:catAx>
        <c:axId val="870306064"/>
        <c:scaling>
          <c:orientation val="minMax"/>
        </c:scaling>
        <c:delete val="1"/>
        <c:axPos val="b"/>
        <c:numFmt formatCode="General" sourceLinked="1"/>
        <c:majorTickMark val="none"/>
        <c:minorTickMark val="none"/>
        <c:tickLblPos val="nextTo"/>
        <c:crossAx val="870304624"/>
        <c:crosses val="autoZero"/>
        <c:auto val="1"/>
        <c:lblAlgn val="ctr"/>
        <c:lblOffset val="100"/>
        <c:noMultiLvlLbl val="0"/>
      </c:catAx>
      <c:valAx>
        <c:axId val="870304624"/>
        <c:scaling>
          <c:orientation val="minMax"/>
        </c:scaling>
        <c:delete val="1"/>
        <c:axPos val="l"/>
        <c:numFmt formatCode="0.00" sourceLinked="1"/>
        <c:majorTickMark val="none"/>
        <c:minorTickMark val="none"/>
        <c:tickLblPos val="nextTo"/>
        <c:crossAx val="870306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[Excel_Project_Datasets.xlsx]Survey_Data!PivotTable1</c:name>
    <c:fmtId val="4"/>
  </c:pivotSource>
  <c:chart>
    <c:title>
      <c:tx>
        <c:rich>
          <a:bodyPr rot="0" spcFirstLastPara="1" vertOverflow="ellipsis" vert="horz" wrap="square" anchor="ctr" anchorCtr="1"/>
          <a:lstStyle/>
          <a:p>
            <a:pPr algn="ctr" rtl="0">
              <a:defRPr lang="en-US" sz="1800" b="1" i="0" u="none" strike="noStrike" kern="1200" cap="all" spc="150" baseline="0">
                <a:solidFill>
                  <a:schemeClr val="dk1"/>
                </a:solidFill>
                <a:latin typeface="+mn-lt"/>
                <a:ea typeface="+mn-ea"/>
                <a:cs typeface="+mn-cs"/>
              </a:defRPr>
            </a:pPr>
            <a:r>
              <a:rPr lang="en-US" sz="1800" b="1" i="0" u="none" strike="noStrike" kern="1200" cap="all" spc="150" baseline="0">
                <a:solidFill>
                  <a:schemeClr val="dk1"/>
                </a:solidFill>
                <a:latin typeface="+mn-lt"/>
                <a:ea typeface="+mn-ea"/>
                <a:cs typeface="+mn-cs"/>
              </a:rPr>
              <a:t>Number of RespondantID vs Gender and Occupation</a:t>
            </a:r>
          </a:p>
        </c:rich>
      </c:tx>
      <c:overlay val="0"/>
      <c:spPr>
        <a:noFill/>
        <a:ln>
          <a:noFill/>
        </a:ln>
        <a:effectLst/>
      </c:spPr>
      <c:txPr>
        <a:bodyPr rot="0" spcFirstLastPara="1" vertOverflow="ellipsis" vert="horz" wrap="square" anchor="ctr" anchorCtr="1"/>
        <a:lstStyle/>
        <a:p>
          <a:pPr algn="ctr" rtl="0">
            <a:defRPr lang="en-US" sz="1800" b="1" i="0" u="none" strike="noStrike" kern="1200" cap="all" spc="15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Survey_Data!$O$3</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Survey_Data!$N$4:$N$19</c:f>
              <c:multiLvlStrCache>
                <c:ptCount val="12"/>
                <c:lvl>
                  <c:pt idx="0">
                    <c:v>Entrepreneur</c:v>
                  </c:pt>
                  <c:pt idx="1">
                    <c:v>Professional</c:v>
                  </c:pt>
                  <c:pt idx="2">
                    <c:v>Retired</c:v>
                  </c:pt>
                  <c:pt idx="3">
                    <c:v>Student</c:v>
                  </c:pt>
                  <c:pt idx="4">
                    <c:v>Entrepreneur</c:v>
                  </c:pt>
                  <c:pt idx="5">
                    <c:v>Professional</c:v>
                  </c:pt>
                  <c:pt idx="6">
                    <c:v>Retired</c:v>
                  </c:pt>
                  <c:pt idx="7">
                    <c:v>Student</c:v>
                  </c:pt>
                  <c:pt idx="8">
                    <c:v>Entrepreneur</c:v>
                  </c:pt>
                  <c:pt idx="9">
                    <c:v>Professional</c:v>
                  </c:pt>
                  <c:pt idx="10">
                    <c:v>Retired</c:v>
                  </c:pt>
                  <c:pt idx="11">
                    <c:v>Student</c:v>
                  </c:pt>
                </c:lvl>
                <c:lvl>
                  <c:pt idx="0">
                    <c:v>Female</c:v>
                  </c:pt>
                  <c:pt idx="4">
                    <c:v>Male</c:v>
                  </c:pt>
                  <c:pt idx="8">
                    <c:v>Other</c:v>
                  </c:pt>
                </c:lvl>
              </c:multiLvlStrCache>
            </c:multiLvlStrRef>
          </c:cat>
          <c:val>
            <c:numRef>
              <c:f>Survey_Data!$O$4:$O$19</c:f>
              <c:numCache>
                <c:formatCode>General</c:formatCode>
                <c:ptCount val="12"/>
                <c:pt idx="0">
                  <c:v>14</c:v>
                </c:pt>
                <c:pt idx="1">
                  <c:v>9</c:v>
                </c:pt>
                <c:pt idx="2">
                  <c:v>8</c:v>
                </c:pt>
                <c:pt idx="3">
                  <c:v>17</c:v>
                </c:pt>
                <c:pt idx="4">
                  <c:v>9</c:v>
                </c:pt>
                <c:pt idx="5">
                  <c:v>12</c:v>
                </c:pt>
                <c:pt idx="6">
                  <c:v>16</c:v>
                </c:pt>
                <c:pt idx="7">
                  <c:v>16</c:v>
                </c:pt>
                <c:pt idx="8">
                  <c:v>12</c:v>
                </c:pt>
                <c:pt idx="9">
                  <c:v>12</c:v>
                </c:pt>
                <c:pt idx="10">
                  <c:v>13</c:v>
                </c:pt>
                <c:pt idx="11">
                  <c:v>12</c:v>
                </c:pt>
              </c:numCache>
            </c:numRef>
          </c:val>
          <c:extLst>
            <c:ext xmlns:c16="http://schemas.microsoft.com/office/drawing/2014/chart" uri="{C3380CC4-5D6E-409C-BE32-E72D297353CC}">
              <c16:uniqueId val="{00000000-4CE2-42A0-87B8-7F4D7A989CE0}"/>
            </c:ext>
          </c:extLst>
        </c:ser>
        <c:dLbls>
          <c:dLblPos val="outEnd"/>
          <c:showLegendKey val="0"/>
          <c:showVal val="1"/>
          <c:showCatName val="0"/>
          <c:showSerName val="0"/>
          <c:showPercent val="0"/>
          <c:showBubbleSize val="0"/>
        </c:dLbls>
        <c:gapWidth val="164"/>
        <c:overlap val="-22"/>
        <c:axId val="540540464"/>
        <c:axId val="540525584"/>
      </c:barChart>
      <c:catAx>
        <c:axId val="54054046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lgn="ctr" rtl="0">
              <a:defRPr lang="en-US" sz="1100" b="1" i="0" u="none" strike="noStrike" kern="1200" cap="all" spc="150" baseline="0">
                <a:solidFill>
                  <a:schemeClr val="dk1"/>
                </a:solidFill>
                <a:latin typeface="+mn-lt"/>
                <a:ea typeface="+mn-ea"/>
                <a:cs typeface="+mn-cs"/>
              </a:defRPr>
            </a:pPr>
            <a:endParaRPr lang="en-US"/>
          </a:p>
        </c:txPr>
        <c:crossAx val="540525584"/>
        <c:crosses val="autoZero"/>
        <c:auto val="1"/>
        <c:lblAlgn val="ctr"/>
        <c:lblOffset val="100"/>
        <c:noMultiLvlLbl val="0"/>
      </c:catAx>
      <c:valAx>
        <c:axId val="540525584"/>
        <c:scaling>
          <c:orientation val="minMax"/>
        </c:scaling>
        <c:delete val="1"/>
        <c:axPos val="l"/>
        <c:numFmt formatCode="General" sourceLinked="1"/>
        <c:majorTickMark val="none"/>
        <c:minorTickMark val="none"/>
        <c:tickLblPos val="nextTo"/>
        <c:crossAx val="54054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[Excel_Project_Datasets.xlsx]Survey_Data!PivotTable2</c:name>
    <c:fmtId val="7"/>
  </c:pivotSource>
  <c:chart>
    <c:title>
      <c:tx>
        <c:rich>
          <a:bodyPr rot="0" spcFirstLastPara="1" vertOverflow="ellipsis" vert="horz" wrap="square" anchor="ctr" anchorCtr="1"/>
          <a:lstStyle/>
          <a:p>
            <a:pPr algn="ctr" rtl="0">
              <a:defRPr lang="en-US" sz="1800" b="1" i="0" u="none" strike="noStrike" kern="1200" cap="all" spc="150" baseline="0">
                <a:solidFill>
                  <a:schemeClr val="dk1"/>
                </a:solidFill>
                <a:latin typeface="+mn-lt"/>
                <a:ea typeface="+mn-ea"/>
                <a:cs typeface="+mn-cs"/>
              </a:defRPr>
            </a:pPr>
            <a:r>
              <a:rPr lang="en-US" sz="1800" b="1" i="0" u="none" strike="noStrike" kern="1200" cap="all" spc="150" baseline="0">
                <a:solidFill>
                  <a:schemeClr val="dk1"/>
                </a:solidFill>
                <a:latin typeface="+mn-lt"/>
                <a:ea typeface="+mn-ea"/>
                <a:cs typeface="+mn-cs"/>
              </a:rPr>
              <a:t>Satisfaction score vs No of product awareness</a:t>
            </a:r>
          </a:p>
        </c:rich>
      </c:tx>
      <c:overlay val="0"/>
      <c:spPr>
        <a:noFill/>
        <a:ln>
          <a:noFill/>
        </a:ln>
        <a:effectLst/>
      </c:spPr>
      <c:txPr>
        <a:bodyPr rot="0" spcFirstLastPara="1" vertOverflow="ellipsis" vert="horz" wrap="square" anchor="ctr" anchorCtr="1"/>
        <a:lstStyle/>
        <a:p>
          <a:pPr algn="ctr" rtl="0">
            <a:defRPr lang="en-US" sz="1800" b="1" i="0" u="none" strike="noStrike" kern="1200" cap="all" spc="150" baseline="0">
              <a:solidFill>
                <a:schemeClr val="dk1"/>
              </a:solidFill>
              <a:latin typeface="+mn-lt"/>
              <a:ea typeface="+mn-ea"/>
              <a:cs typeface="+mn-cs"/>
            </a:defRPr>
          </a:pPr>
          <a:endParaRPr lang="en-US"/>
        </a:p>
      </c:txPr>
    </c:title>
    <c:autoTitleDeleted val="0"/>
    <c:pivotFmts>
      <c:pivotFmt>
        <c:idx val="0"/>
        <c:spPr>
          <a:pattFill prst="narVert">
            <a:fgClr>
              <a:schemeClr val="accent3"/>
            </a:fgClr>
            <a:bgClr>
              <a:schemeClr val="accent3">
                <a:lumMod val="20000"/>
                <a:lumOff val="80000"/>
              </a:schemeClr>
            </a:bgClr>
          </a:pattFill>
          <a:ln>
            <a:noFill/>
          </a:ln>
          <a:effectLst>
            <a:innerShdw blurRad="114300">
              <a:schemeClr val="accent3"/>
            </a:innerShdw>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accent3"/>
            </a:fgClr>
            <a:bgClr>
              <a:schemeClr val="accent3">
                <a:lumMod val="20000"/>
                <a:lumOff val="80000"/>
              </a:schemeClr>
            </a:bgClr>
          </a:patt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3"/>
            </a:fgClr>
            <a:bgClr>
              <a:schemeClr val="accent3">
                <a:lumMod val="20000"/>
                <a:lumOff val="80000"/>
              </a:schemeClr>
            </a:bgClr>
          </a:patt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cap="all" spc="15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Survey_Data!$R$3</c:f>
              <c:strCache>
                <c:ptCount val="1"/>
                <c:pt idx="0">
                  <c:v>Total</c:v>
                </c:pt>
              </c:strCache>
            </c:strRef>
          </c:tx>
          <c:spPr>
            <a:pattFill prst="narVert">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cap="all" spc="15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Survey_Data!$Q$4:$Q$9</c:f>
              <c:strCache>
                <c:ptCount val="5"/>
                <c:pt idx="0">
                  <c:v>1</c:v>
                </c:pt>
                <c:pt idx="1">
                  <c:v>2</c:v>
                </c:pt>
                <c:pt idx="2">
                  <c:v>3</c:v>
                </c:pt>
                <c:pt idx="3">
                  <c:v>4</c:v>
                </c:pt>
                <c:pt idx="4">
                  <c:v>5</c:v>
                </c:pt>
              </c:strCache>
            </c:strRef>
          </c:cat>
          <c:val>
            <c:numRef>
              <c:f>Survey_Data!$R$4:$R$9</c:f>
              <c:numCache>
                <c:formatCode>General</c:formatCode>
                <c:ptCount val="5"/>
                <c:pt idx="0">
                  <c:v>26</c:v>
                </c:pt>
                <c:pt idx="1">
                  <c:v>30</c:v>
                </c:pt>
                <c:pt idx="2">
                  <c:v>24</c:v>
                </c:pt>
                <c:pt idx="3">
                  <c:v>40</c:v>
                </c:pt>
                <c:pt idx="4">
                  <c:v>30</c:v>
                </c:pt>
              </c:numCache>
            </c:numRef>
          </c:val>
          <c:extLst>
            <c:ext xmlns:c16="http://schemas.microsoft.com/office/drawing/2014/chart" uri="{C3380CC4-5D6E-409C-BE32-E72D297353CC}">
              <c16:uniqueId val="{00000000-09CE-4610-8F1B-988387A2D38A}"/>
            </c:ext>
          </c:extLst>
        </c:ser>
        <c:dLbls>
          <c:dLblPos val="outEnd"/>
          <c:showLegendKey val="0"/>
          <c:showVal val="1"/>
          <c:showCatName val="0"/>
          <c:showSerName val="0"/>
          <c:showPercent val="0"/>
          <c:showBubbleSize val="0"/>
        </c:dLbls>
        <c:gapWidth val="227"/>
        <c:overlap val="-48"/>
        <c:axId val="738063728"/>
        <c:axId val="738062288"/>
      </c:barChart>
      <c:catAx>
        <c:axId val="738063728"/>
        <c:scaling>
          <c:orientation val="minMax"/>
        </c:scaling>
        <c:delete val="1"/>
        <c:axPos val="l"/>
        <c:title>
          <c:tx>
            <c:rich>
              <a:bodyPr rot="-5400000" spcFirstLastPara="1" vertOverflow="ellipsis" vert="horz" wrap="square" anchor="ctr" anchorCtr="1"/>
              <a:lstStyle/>
              <a:p>
                <a:pPr algn="ctr" rtl="0">
                  <a:defRPr lang="en-IN" sz="1100" b="1" i="0" u="none" strike="noStrike" kern="1200" cap="all" spc="150" baseline="0">
                    <a:solidFill>
                      <a:schemeClr val="dk1"/>
                    </a:solidFill>
                    <a:latin typeface="+mn-lt"/>
                    <a:ea typeface="+mn-ea"/>
                    <a:cs typeface="+mn-cs"/>
                  </a:defRPr>
                </a:pPr>
                <a:r>
                  <a:rPr lang="en-IN" sz="1100" b="1" i="0" u="none" strike="noStrike" kern="1200" cap="all" spc="150" baseline="0">
                    <a:solidFill>
                      <a:schemeClr val="dk1"/>
                    </a:solidFill>
                    <a:latin typeface="+mn-lt"/>
                    <a:ea typeface="+mn-ea"/>
                    <a:cs typeface="+mn-cs"/>
                  </a:rPr>
                  <a:t>Satisfaction score</a:t>
                </a:r>
              </a:p>
            </c:rich>
          </c:tx>
          <c:overlay val="0"/>
          <c:spPr>
            <a:noFill/>
            <a:ln>
              <a:noFill/>
            </a:ln>
            <a:effectLst/>
          </c:spPr>
          <c:txPr>
            <a:bodyPr rot="-5400000" spcFirstLastPara="1" vertOverflow="ellipsis" vert="horz" wrap="square" anchor="ctr" anchorCtr="1"/>
            <a:lstStyle/>
            <a:p>
              <a:pPr algn="ctr" rtl="0">
                <a:defRPr lang="en-IN" sz="1100" b="1" i="0" u="none" strike="noStrike" kern="1200" cap="all" spc="150" baseline="0">
                  <a:solidFill>
                    <a:schemeClr val="dk1"/>
                  </a:solidFill>
                  <a:latin typeface="+mn-lt"/>
                  <a:ea typeface="+mn-ea"/>
                  <a:cs typeface="+mn-cs"/>
                </a:defRPr>
              </a:pPr>
              <a:endParaRPr lang="en-US"/>
            </a:p>
          </c:txPr>
        </c:title>
        <c:numFmt formatCode="General" sourceLinked="1"/>
        <c:majorTickMark val="none"/>
        <c:minorTickMark val="none"/>
        <c:tickLblPos val="nextTo"/>
        <c:crossAx val="738062288"/>
        <c:crosses val="autoZero"/>
        <c:auto val="1"/>
        <c:lblAlgn val="ctr"/>
        <c:lblOffset val="100"/>
        <c:noMultiLvlLbl val="0"/>
      </c:catAx>
      <c:valAx>
        <c:axId val="738062288"/>
        <c:scaling>
          <c:orientation val="minMax"/>
        </c:scaling>
        <c:delete val="0"/>
        <c:axPos val="b"/>
        <c:title>
          <c:tx>
            <c:rich>
              <a:bodyPr rot="0" spcFirstLastPara="1" vertOverflow="ellipsis" vert="horz" wrap="square" anchor="ctr" anchorCtr="1"/>
              <a:lstStyle/>
              <a:p>
                <a:pPr algn="ctr" rtl="0">
                  <a:defRPr lang="en-IN" sz="1100" b="1" i="0" u="none" strike="noStrike" kern="1200" cap="all" spc="150" baseline="0">
                    <a:solidFill>
                      <a:schemeClr val="dk1"/>
                    </a:solidFill>
                    <a:latin typeface="+mn-lt"/>
                    <a:ea typeface="+mn-ea"/>
                    <a:cs typeface="+mn-cs"/>
                  </a:defRPr>
                </a:pPr>
                <a:r>
                  <a:rPr lang="en-IN" sz="1100" b="1" i="0" u="none" strike="noStrike" kern="1200" cap="all" spc="150" baseline="0">
                    <a:solidFill>
                      <a:schemeClr val="dk1"/>
                    </a:solidFill>
                    <a:latin typeface="+mn-lt"/>
                    <a:ea typeface="+mn-ea"/>
                    <a:cs typeface="+mn-cs"/>
                  </a:rPr>
                  <a:t>Number of product awareness</a:t>
                </a:r>
              </a:p>
            </c:rich>
          </c:tx>
          <c:overlay val="0"/>
          <c:spPr>
            <a:noFill/>
            <a:ln>
              <a:noFill/>
            </a:ln>
            <a:effectLst/>
          </c:spPr>
          <c:txPr>
            <a:bodyPr rot="0" spcFirstLastPara="1" vertOverflow="ellipsis" vert="horz" wrap="square" anchor="ctr" anchorCtr="1"/>
            <a:lstStyle/>
            <a:p>
              <a:pPr algn="ctr" rtl="0">
                <a:defRPr lang="en-IN" sz="1100" b="1" i="0" u="none" strike="noStrike" kern="1200" cap="all" spc="15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100" b="1" i="0" u="none" strike="noStrike" kern="1200" cap="all" spc="150" baseline="0">
                <a:solidFill>
                  <a:schemeClr val="dk1"/>
                </a:solidFill>
                <a:latin typeface="+mn-lt"/>
                <a:ea typeface="+mn-ea"/>
                <a:cs typeface="+mn-cs"/>
              </a:defRPr>
            </a:pPr>
            <a:endParaRPr lang="en-US"/>
          </a:p>
        </c:txPr>
        <c:crossAx val="73806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[Excel_Project_Datasets.xlsx]Survey_Data!PivotTable4</c:name>
    <c:fmtId val="12"/>
  </c:pivotSource>
  <c:chart>
    <c:title>
      <c:tx>
        <c:rich>
          <a:bodyPr rot="0" spcFirstLastPara="1" vertOverflow="ellipsis" vert="horz" wrap="square" anchor="ctr" anchorCtr="1"/>
          <a:lstStyle/>
          <a:p>
            <a:pPr algn="ctr" rtl="0">
              <a:defRPr lang="en-US" sz="1800" b="1" i="0" u="none" strike="noStrike" kern="1200" cap="all" spc="150" baseline="0">
                <a:solidFill>
                  <a:schemeClr val="dk1"/>
                </a:solidFill>
                <a:latin typeface="+mn-lt"/>
                <a:ea typeface="+mn-ea"/>
                <a:cs typeface="+mn-cs"/>
              </a:defRPr>
            </a:pPr>
            <a:r>
              <a:rPr lang="en-US" sz="1800" b="1" i="0" u="none" strike="noStrike" kern="1200" cap="all" spc="150" baseline="0">
                <a:solidFill>
                  <a:schemeClr val="dk1"/>
                </a:solidFill>
                <a:latin typeface="+mn-lt"/>
                <a:ea typeface="+mn-ea"/>
                <a:cs typeface="+mn-cs"/>
              </a:rPr>
              <a:t>product awareness Gender count  </a:t>
            </a:r>
          </a:p>
        </c:rich>
      </c:tx>
      <c:overlay val="0"/>
      <c:spPr>
        <a:noFill/>
        <a:ln>
          <a:noFill/>
        </a:ln>
        <a:effectLst/>
      </c:spPr>
      <c:txPr>
        <a:bodyPr rot="0" spcFirstLastPara="1" vertOverflow="ellipsis" vert="horz" wrap="square" anchor="ctr" anchorCtr="1"/>
        <a:lstStyle/>
        <a:p>
          <a:pPr algn="ctr" rtl="0">
            <a:defRPr lang="en-US" sz="1800" b="1" i="0" u="none" strike="noStrike" kern="1200" cap="all" spc="150" baseline="0">
              <a:solidFill>
                <a:schemeClr val="dk1"/>
              </a:solidFill>
              <a:latin typeface="+mn-lt"/>
              <a:ea typeface="+mn-ea"/>
              <a:cs typeface="+mn-cs"/>
            </a:defRPr>
          </a:pPr>
          <a:endParaRPr lang="en-US"/>
        </a:p>
      </c:txPr>
    </c:title>
    <c:autoTitleDeleted val="0"/>
    <c:pivotFmts>
      <c:pivotFmt>
        <c:idx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4">
                <a:shade val="76000"/>
              </a:schemeClr>
            </a:fgClr>
            <a:bgClr>
              <a:schemeClr val="accent4">
                <a:shade val="76000"/>
                <a:lumMod val="20000"/>
                <a:lumOff val="80000"/>
              </a:schemeClr>
            </a:bgClr>
          </a:pattFill>
          <a:ln w="19050">
            <a:solidFill>
              <a:schemeClr val="lt1"/>
            </a:solidFill>
          </a:ln>
          <a:effectLst>
            <a:innerShdw blurRad="114300">
              <a:schemeClr val="accent4">
                <a:shade val="76000"/>
              </a:schemeClr>
            </a:innerShdw>
          </a:effectLst>
        </c:spPr>
      </c:pivotFmt>
      <c:pivotFmt>
        <c:idx val="3"/>
        <c:spPr>
          <a:pattFill prst="ltUpDiag">
            <a:fgClr>
              <a:schemeClr val="accent4">
                <a:tint val="77000"/>
              </a:schemeClr>
            </a:fgClr>
            <a:bgClr>
              <a:schemeClr val="accent4">
                <a:tint val="77000"/>
                <a:lumMod val="20000"/>
                <a:lumOff val="80000"/>
              </a:schemeClr>
            </a:bgClr>
          </a:pattFill>
          <a:ln w="19050">
            <a:solidFill>
              <a:schemeClr val="lt1"/>
            </a:solidFill>
          </a:ln>
          <a:effectLst>
            <a:innerShdw blurRad="114300">
              <a:schemeClr val="accent4">
                <a:tint val="77000"/>
              </a:schemeClr>
            </a:innerShdw>
          </a:effectLst>
        </c:spPr>
      </c:pivotFmt>
      <c:pivotFmt>
        <c:idx val="4"/>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4">
                <a:shade val="76000"/>
              </a:schemeClr>
            </a:fgClr>
            <a:bgClr>
              <a:schemeClr val="accent4">
                <a:shade val="76000"/>
                <a:lumMod val="20000"/>
                <a:lumOff val="80000"/>
              </a:schemeClr>
            </a:bgClr>
          </a:pattFill>
          <a:ln w="19050">
            <a:solidFill>
              <a:schemeClr val="lt1"/>
            </a:solidFill>
          </a:ln>
          <a:effectLst>
            <a:innerShdw blurRad="114300">
              <a:schemeClr val="accent4">
                <a:shade val="76000"/>
              </a:schemeClr>
            </a:innerShdw>
          </a:effectLst>
        </c:spPr>
      </c:pivotFmt>
      <c:pivotFmt>
        <c:idx val="6"/>
        <c:spPr>
          <a:pattFill prst="ltUpDiag">
            <a:fgClr>
              <a:schemeClr val="accent4">
                <a:tint val="77000"/>
              </a:schemeClr>
            </a:fgClr>
            <a:bgClr>
              <a:schemeClr val="accent4">
                <a:tint val="77000"/>
                <a:lumMod val="20000"/>
                <a:lumOff val="80000"/>
              </a:schemeClr>
            </a:bgClr>
          </a:pattFill>
          <a:ln w="19050">
            <a:solidFill>
              <a:schemeClr val="lt1"/>
            </a:solidFill>
          </a:ln>
          <a:effectLst>
            <a:innerShdw blurRad="114300">
              <a:schemeClr val="accent4">
                <a:tint val="77000"/>
              </a:schemeClr>
            </a:innerShdw>
          </a:effectLst>
        </c:spPr>
      </c:pivotFmt>
    </c:pivotFmts>
    <c:plotArea>
      <c:layout/>
      <c:pieChart>
        <c:varyColors val="1"/>
        <c:ser>
          <c:idx val="0"/>
          <c:order val="0"/>
          <c:tx>
            <c:strRef>
              <c:f>Survey_Data!$O$22</c:f>
              <c:strCache>
                <c:ptCount val="1"/>
                <c:pt idx="0">
                  <c:v>Total</c:v>
                </c:pt>
              </c:strCache>
            </c:strRef>
          </c:tx>
          <c:dPt>
            <c:idx val="0"/>
            <c:bubble3D val="0"/>
            <c:spPr>
              <a:pattFill prst="ltUpDiag">
                <a:fgClr>
                  <a:schemeClr val="accent4">
                    <a:shade val="76000"/>
                  </a:schemeClr>
                </a:fgClr>
                <a:bgClr>
                  <a:schemeClr val="accent4">
                    <a:shade val="76000"/>
                    <a:lumMod val="20000"/>
                    <a:lumOff val="80000"/>
                  </a:schemeClr>
                </a:bgClr>
              </a:pattFill>
              <a:ln w="19050">
                <a:solidFill>
                  <a:schemeClr val="lt1"/>
                </a:solidFill>
              </a:ln>
              <a:effectLst>
                <a:innerShdw blurRad="114300">
                  <a:schemeClr val="accent4">
                    <a:shade val="76000"/>
                  </a:schemeClr>
                </a:innerShdw>
              </a:effectLst>
            </c:spPr>
            <c:extLst>
              <c:ext xmlns:c16="http://schemas.microsoft.com/office/drawing/2014/chart" uri="{C3380CC4-5D6E-409C-BE32-E72D297353CC}">
                <c16:uniqueId val="{00000001-299F-4009-9FF2-312DBCD66316}"/>
              </c:ext>
            </c:extLst>
          </c:dPt>
          <c:dPt>
            <c:idx val="1"/>
            <c:bubble3D val="0"/>
            <c:spPr>
              <a:pattFill prst="ltUpDiag">
                <a:fgClr>
                  <a:schemeClr val="accent4">
                    <a:tint val="77000"/>
                  </a:schemeClr>
                </a:fgClr>
                <a:bgClr>
                  <a:schemeClr val="accent4">
                    <a:tint val="77000"/>
                    <a:lumMod val="20000"/>
                    <a:lumOff val="80000"/>
                  </a:schemeClr>
                </a:bgClr>
              </a:pattFill>
              <a:ln w="19050">
                <a:solidFill>
                  <a:schemeClr val="lt1"/>
                </a:solidFill>
              </a:ln>
              <a:effectLst>
                <a:innerShdw blurRad="114300">
                  <a:schemeClr val="accent4">
                    <a:tint val="77000"/>
                  </a:schemeClr>
                </a:innerShdw>
              </a:effectLst>
            </c:spPr>
            <c:extLst>
              <c:ext xmlns:c16="http://schemas.microsoft.com/office/drawing/2014/chart" uri="{C3380CC4-5D6E-409C-BE32-E72D297353CC}">
                <c16:uniqueId val="{00000003-299F-4009-9FF2-312DBCD663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Survey_Data!$N$23:$N$25</c:f>
              <c:strCache>
                <c:ptCount val="2"/>
                <c:pt idx="0">
                  <c:v>No</c:v>
                </c:pt>
                <c:pt idx="1">
                  <c:v>Yes</c:v>
                </c:pt>
              </c:strCache>
            </c:strRef>
          </c:cat>
          <c:val>
            <c:numRef>
              <c:f>Survey_Data!$O$23:$O$25</c:f>
              <c:numCache>
                <c:formatCode>General</c:formatCode>
                <c:ptCount val="2"/>
                <c:pt idx="0">
                  <c:v>44</c:v>
                </c:pt>
                <c:pt idx="1">
                  <c:v>106</c:v>
                </c:pt>
              </c:numCache>
            </c:numRef>
          </c:val>
          <c:extLst>
            <c:ext xmlns:c16="http://schemas.microsoft.com/office/drawing/2014/chart" uri="{C3380CC4-5D6E-409C-BE32-E72D297353CC}">
              <c16:uniqueId val="{00000004-299F-4009-9FF2-312DBCD6631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lgn="ctr" rtl="0">
            <a:defRPr lang="en-US" sz="1100" b="1" i="0" u="none" strike="noStrike" kern="1200" cap="all" spc="15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[Excel_Project_Datasets.xlsx]Marketing_ROI_KPIs!PivotTable5</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Channel vs KPIs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pivotFmt>
    </c:pivotFmts>
    <c:plotArea>
      <c:layout>
        <c:manualLayout>
          <c:layoutTarget val="inner"/>
          <c:xMode val="edge"/>
          <c:yMode val="edge"/>
          <c:x val="2.1979093901234103E-2"/>
          <c:y val="3.9726737365111654E-2"/>
          <c:w val="0.75396822541154318"/>
          <c:h val="0.91285321694612431"/>
        </c:manualLayout>
      </c:layout>
      <c:barChart>
        <c:barDir val="col"/>
        <c:grouping val="clustered"/>
        <c:varyColors val="0"/>
        <c:ser>
          <c:idx val="0"/>
          <c:order val="0"/>
          <c:tx>
            <c:strRef>
              <c:f>Marketing_ROI_KPIs!$Q$2</c:f>
              <c:strCache>
                <c:ptCount val="1"/>
                <c:pt idx="0">
                  <c:v>Average of CTR (Click-Through Rate)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Marketing_ROI_KPIs!$P$3:$P$7</c:f>
              <c:strCache>
                <c:ptCount val="4"/>
                <c:pt idx="0">
                  <c:v>Email</c:v>
                </c:pt>
                <c:pt idx="1">
                  <c:v>Search Ads</c:v>
                </c:pt>
                <c:pt idx="2">
                  <c:v>Social Media</c:v>
                </c:pt>
                <c:pt idx="3">
                  <c:v>TV</c:v>
                </c:pt>
              </c:strCache>
            </c:strRef>
          </c:cat>
          <c:val>
            <c:numRef>
              <c:f>Marketing_ROI_KPIs!$Q$3:$Q$7</c:f>
              <c:numCache>
                <c:formatCode>0%</c:formatCode>
                <c:ptCount val="4"/>
                <c:pt idx="0">
                  <c:v>6.2511296878079242E-2</c:v>
                </c:pt>
                <c:pt idx="1">
                  <c:v>6.4264098167303385E-2</c:v>
                </c:pt>
                <c:pt idx="2">
                  <c:v>8.4008407968083676E-2</c:v>
                </c:pt>
                <c:pt idx="3">
                  <c:v>8.8269555151485865E-2</c:v>
                </c:pt>
              </c:numCache>
            </c:numRef>
          </c:val>
          <c:extLst>
            <c:ext xmlns:c16="http://schemas.microsoft.com/office/drawing/2014/chart" uri="{C3380CC4-5D6E-409C-BE32-E72D297353CC}">
              <c16:uniqueId val="{00000000-A3BC-4033-9128-C65B3FED439C}"/>
            </c:ext>
          </c:extLst>
        </c:ser>
        <c:ser>
          <c:idx val="1"/>
          <c:order val="1"/>
          <c:tx>
            <c:strRef>
              <c:f>Marketing_ROI_KPIs!$R$2</c:f>
              <c:strCache>
                <c:ptCount val="1"/>
                <c:pt idx="0">
                  <c:v>Average of Conversion Rate (CR)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Marketing_ROI_KPIs!$P$3:$P$7</c:f>
              <c:strCache>
                <c:ptCount val="4"/>
                <c:pt idx="0">
                  <c:v>Email</c:v>
                </c:pt>
                <c:pt idx="1">
                  <c:v>Search Ads</c:v>
                </c:pt>
                <c:pt idx="2">
                  <c:v>Social Media</c:v>
                </c:pt>
                <c:pt idx="3">
                  <c:v>TV</c:v>
                </c:pt>
              </c:strCache>
            </c:strRef>
          </c:cat>
          <c:val>
            <c:numRef>
              <c:f>Marketing_ROI_KPIs!$R$3:$R$7</c:f>
              <c:numCache>
                <c:formatCode>0%</c:formatCode>
                <c:ptCount val="4"/>
                <c:pt idx="0">
                  <c:v>0.3580241919472591</c:v>
                </c:pt>
                <c:pt idx="1">
                  <c:v>0.44976388913917342</c:v>
                </c:pt>
                <c:pt idx="2">
                  <c:v>0.31187280331074441</c:v>
                </c:pt>
                <c:pt idx="3">
                  <c:v>0.83278360801372375</c:v>
                </c:pt>
              </c:numCache>
            </c:numRef>
          </c:val>
          <c:extLst>
            <c:ext xmlns:c16="http://schemas.microsoft.com/office/drawing/2014/chart" uri="{C3380CC4-5D6E-409C-BE32-E72D297353CC}">
              <c16:uniqueId val="{00000001-A3BC-4033-9128-C65B3FED439C}"/>
            </c:ext>
          </c:extLst>
        </c:ser>
        <c:ser>
          <c:idx val="2"/>
          <c:order val="2"/>
          <c:tx>
            <c:strRef>
              <c:f>Marketing_ROI_KPIs!$S$2</c:f>
              <c:strCache>
                <c:ptCount val="1"/>
                <c:pt idx="0">
                  <c:v>Average of CPC (Cost per Click)</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Marketing_ROI_KPIs!$P$3:$P$7</c:f>
              <c:strCache>
                <c:ptCount val="4"/>
                <c:pt idx="0">
                  <c:v>Email</c:v>
                </c:pt>
                <c:pt idx="1">
                  <c:v>Search Ads</c:v>
                </c:pt>
                <c:pt idx="2">
                  <c:v>Social Media</c:v>
                </c:pt>
                <c:pt idx="3">
                  <c:v>TV</c:v>
                </c:pt>
              </c:strCache>
            </c:strRef>
          </c:cat>
          <c:val>
            <c:numRef>
              <c:f>Marketing_ROI_KPIs!$S$3:$S$7</c:f>
              <c:numCache>
                <c:formatCode>0</c:formatCode>
                <c:ptCount val="4"/>
                <c:pt idx="0">
                  <c:v>6.0244092420133244</c:v>
                </c:pt>
                <c:pt idx="1">
                  <c:v>21.54285238360216</c:v>
                </c:pt>
                <c:pt idx="2">
                  <c:v>15.063357208524685</c:v>
                </c:pt>
                <c:pt idx="3">
                  <c:v>14.845297882812563</c:v>
                </c:pt>
              </c:numCache>
            </c:numRef>
          </c:val>
          <c:extLst>
            <c:ext xmlns:c16="http://schemas.microsoft.com/office/drawing/2014/chart" uri="{C3380CC4-5D6E-409C-BE32-E72D297353CC}">
              <c16:uniqueId val="{00000002-A3BC-4033-9128-C65B3FED439C}"/>
            </c:ext>
          </c:extLst>
        </c:ser>
        <c:ser>
          <c:idx val="3"/>
          <c:order val="3"/>
          <c:tx>
            <c:strRef>
              <c:f>Marketing_ROI_KPIs!$T$2</c:f>
              <c:strCache>
                <c:ptCount val="1"/>
                <c:pt idx="0">
                  <c:v>Average of CPA (Cost per Acquisition/Conversion)</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Marketing_ROI_KPIs!$P$3:$P$7</c:f>
              <c:strCache>
                <c:ptCount val="4"/>
                <c:pt idx="0">
                  <c:v>Email</c:v>
                </c:pt>
                <c:pt idx="1">
                  <c:v>Search Ads</c:v>
                </c:pt>
                <c:pt idx="2">
                  <c:v>Social Media</c:v>
                </c:pt>
                <c:pt idx="3">
                  <c:v>TV</c:v>
                </c:pt>
              </c:strCache>
            </c:strRef>
          </c:cat>
          <c:val>
            <c:numRef>
              <c:f>Marketing_ROI_KPIs!$T$3:$T$7</c:f>
              <c:numCache>
                <c:formatCode>0</c:formatCode>
                <c:ptCount val="4"/>
                <c:pt idx="0">
                  <c:v>28.057133818459846</c:v>
                </c:pt>
                <c:pt idx="1">
                  <c:v>56.695354396710705</c:v>
                </c:pt>
                <c:pt idx="2">
                  <c:v>63.686196210558279</c:v>
                </c:pt>
                <c:pt idx="3">
                  <c:v>99.549119332524384</c:v>
                </c:pt>
              </c:numCache>
            </c:numRef>
          </c:val>
          <c:extLst>
            <c:ext xmlns:c16="http://schemas.microsoft.com/office/drawing/2014/chart" uri="{C3380CC4-5D6E-409C-BE32-E72D297353CC}">
              <c16:uniqueId val="{00000003-A3BC-4033-9128-C65B3FED439C}"/>
            </c:ext>
          </c:extLst>
        </c:ser>
        <c:ser>
          <c:idx val="4"/>
          <c:order val="4"/>
          <c:tx>
            <c:strRef>
              <c:f>Marketing_ROI_KPIs!$U$2</c:f>
              <c:strCache>
                <c:ptCount val="1"/>
                <c:pt idx="0">
                  <c:v>Average of ROI (Return on Investment)</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Marketing_ROI_KPIs!$P$3:$P$7</c:f>
              <c:strCache>
                <c:ptCount val="4"/>
                <c:pt idx="0">
                  <c:v>Email</c:v>
                </c:pt>
                <c:pt idx="1">
                  <c:v>Search Ads</c:v>
                </c:pt>
                <c:pt idx="2">
                  <c:v>Social Media</c:v>
                </c:pt>
                <c:pt idx="3">
                  <c:v>TV</c:v>
                </c:pt>
              </c:strCache>
            </c:strRef>
          </c:cat>
          <c:val>
            <c:numRef>
              <c:f>Marketing_ROI_KPIs!$U$3:$U$7</c:f>
              <c:numCache>
                <c:formatCode>0%</c:formatCode>
                <c:ptCount val="4"/>
                <c:pt idx="0">
                  <c:v>0.94004300349390346</c:v>
                </c:pt>
                <c:pt idx="1">
                  <c:v>0.36964082217855504</c:v>
                </c:pt>
                <c:pt idx="2">
                  <c:v>0.77059947875484314</c:v>
                </c:pt>
                <c:pt idx="3">
                  <c:v>0.92277838819353109</c:v>
                </c:pt>
              </c:numCache>
            </c:numRef>
          </c:val>
          <c:extLst>
            <c:ext xmlns:c16="http://schemas.microsoft.com/office/drawing/2014/chart" uri="{C3380CC4-5D6E-409C-BE32-E72D297353CC}">
              <c16:uniqueId val="{00000004-A3BC-4033-9128-C65B3FED439C}"/>
            </c:ext>
          </c:extLst>
        </c:ser>
        <c:ser>
          <c:idx val="5"/>
          <c:order val="5"/>
          <c:tx>
            <c:strRef>
              <c:f>Marketing_ROI_KPIs!$V$2</c:f>
              <c:strCache>
                <c:ptCount val="1"/>
                <c:pt idx="0">
                  <c:v>Average of ROAS (Return on Ad Spend)</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Marketing_ROI_KPIs!$P$3:$P$7</c:f>
              <c:strCache>
                <c:ptCount val="4"/>
                <c:pt idx="0">
                  <c:v>Email</c:v>
                </c:pt>
                <c:pt idx="1">
                  <c:v>Search Ads</c:v>
                </c:pt>
                <c:pt idx="2">
                  <c:v>Social Media</c:v>
                </c:pt>
                <c:pt idx="3">
                  <c:v>TV</c:v>
                </c:pt>
              </c:strCache>
            </c:strRef>
          </c:cat>
          <c:val>
            <c:numRef>
              <c:f>Marketing_ROI_KPIs!$V$3:$V$7</c:f>
              <c:numCache>
                <c:formatCode>0</c:formatCode>
                <c:ptCount val="4"/>
                <c:pt idx="0">
                  <c:v>1.940043003493904</c:v>
                </c:pt>
                <c:pt idx="1">
                  <c:v>1.3696408221785548</c:v>
                </c:pt>
                <c:pt idx="2">
                  <c:v>1.7705994787548436</c:v>
                </c:pt>
                <c:pt idx="3">
                  <c:v>1.9227783881935308</c:v>
                </c:pt>
              </c:numCache>
            </c:numRef>
          </c:val>
          <c:extLst>
            <c:ext xmlns:c16="http://schemas.microsoft.com/office/drawing/2014/chart" uri="{C3380CC4-5D6E-409C-BE32-E72D297353CC}">
              <c16:uniqueId val="{00000005-A3BC-4033-9128-C65B3FED439C}"/>
            </c:ext>
          </c:extLst>
        </c:ser>
        <c:dLbls>
          <c:dLblPos val="outEnd"/>
          <c:showLegendKey val="0"/>
          <c:showVal val="1"/>
          <c:showCatName val="0"/>
          <c:showSerName val="0"/>
          <c:showPercent val="0"/>
          <c:showBubbleSize val="0"/>
        </c:dLbls>
        <c:gapWidth val="100"/>
        <c:overlap val="-24"/>
        <c:axId val="738063728"/>
        <c:axId val="738062288"/>
      </c:barChart>
      <c:catAx>
        <c:axId val="7380637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38062288"/>
        <c:crosses val="autoZero"/>
        <c:auto val="1"/>
        <c:lblAlgn val="ctr"/>
        <c:lblOffset val="100"/>
        <c:noMultiLvlLbl val="0"/>
      </c:catAx>
      <c:valAx>
        <c:axId val="738062288"/>
        <c:scaling>
          <c:orientation val="minMax"/>
        </c:scaling>
        <c:delete val="1"/>
        <c:axPos val="l"/>
        <c:numFmt formatCode="0%" sourceLinked="1"/>
        <c:majorTickMark val="none"/>
        <c:minorTickMark val="none"/>
        <c:tickLblPos val="nextTo"/>
        <c:crossAx val="738063728"/>
        <c:crosses val="autoZero"/>
        <c:crossBetween val="between"/>
      </c:valAx>
      <c:spPr>
        <a:noFill/>
        <a:ln>
          <a:noFill/>
        </a:ln>
        <a:effectLst/>
      </c:spPr>
    </c:plotArea>
    <c:legend>
      <c:legendPos val="r"/>
      <c:layout>
        <c:manualLayout>
          <c:xMode val="edge"/>
          <c:yMode val="edge"/>
          <c:x val="0.78469257867662745"/>
          <c:y val="0.14728532661885502"/>
          <c:w val="0.20724334216078374"/>
          <c:h val="0.646878050722160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[Excel_Project_Datasets.xlsx]Marketing_ROI_KPIs!PivotTable6</c:name>
    <c:fmtId val="8"/>
  </c:pivotSource>
  <c:chart>
    <c:title>
      <c:tx>
        <c:rich>
          <a:bodyPr rot="0" spcFirstLastPara="1" vertOverflow="ellipsis" vert="horz" wrap="square" anchor="ctr" anchorCtr="1"/>
          <a:lstStyle/>
          <a:p>
            <a:pPr algn="ctr">
              <a:defRPr lang="en-IN" sz="2000" b="0" i="0" u="none" strike="noStrike" kern="1200" spc="0" baseline="0">
                <a:solidFill>
                  <a:schemeClr val="tx1">
                    <a:lumMod val="75000"/>
                    <a:lumOff val="25000"/>
                  </a:schemeClr>
                </a:solidFill>
                <a:latin typeface="+mn-lt"/>
                <a:ea typeface="+mn-ea"/>
                <a:cs typeface="+mn-cs"/>
              </a:defRPr>
            </a:pPr>
            <a:r>
              <a:rPr lang="en-IN" sz="2000" b="0" i="0" u="none" strike="noStrike" kern="1200" baseline="0">
                <a:solidFill>
                  <a:schemeClr val="tx1">
                    <a:lumMod val="75000"/>
                    <a:lumOff val="25000"/>
                  </a:schemeClr>
                </a:solidFill>
                <a:latin typeface="+mn-lt"/>
                <a:ea typeface="+mn-ea"/>
                <a:cs typeface="+mn-cs"/>
              </a:rPr>
              <a:t>Channel vs Attributes</a:t>
            </a:r>
          </a:p>
        </c:rich>
      </c:tx>
      <c:overlay val="0"/>
      <c:spPr>
        <a:solidFill>
          <a:schemeClr val="bg1"/>
        </a:solidFill>
        <a:ln>
          <a:noFill/>
        </a:ln>
        <a:effectLst/>
      </c:spPr>
      <c:txPr>
        <a:bodyPr rot="0" spcFirstLastPara="1" vertOverflow="ellipsis" vert="horz" wrap="square" anchor="ctr" anchorCtr="1"/>
        <a:lstStyle/>
        <a:p>
          <a:pPr algn="ctr">
            <a:defRPr lang="en-IN" sz="20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20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20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20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20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20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Marketing_ROI_KPIs!$Q$9</c:f>
              <c:strCache>
                <c:ptCount val="1"/>
                <c:pt idx="0">
                  <c:v>Total Spend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20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Marketing_ROI_KPIs!$P$10:$P$14</c:f>
              <c:strCache>
                <c:ptCount val="4"/>
                <c:pt idx="0">
                  <c:v>Email</c:v>
                </c:pt>
                <c:pt idx="1">
                  <c:v>Search Ads</c:v>
                </c:pt>
                <c:pt idx="2">
                  <c:v>Social Media</c:v>
                </c:pt>
                <c:pt idx="3">
                  <c:v>TV</c:v>
                </c:pt>
              </c:strCache>
            </c:strRef>
          </c:cat>
          <c:val>
            <c:numRef>
              <c:f>Marketing_ROI_KPIs!$Q$10:$Q$14</c:f>
              <c:numCache>
                <c:formatCode>"₹"\ #,##0</c:formatCode>
                <c:ptCount val="4"/>
                <c:pt idx="0">
                  <c:v>577048</c:v>
                </c:pt>
                <c:pt idx="1">
                  <c:v>679315</c:v>
                </c:pt>
                <c:pt idx="2">
                  <c:v>810812</c:v>
                </c:pt>
                <c:pt idx="3">
                  <c:v>701998</c:v>
                </c:pt>
              </c:numCache>
            </c:numRef>
          </c:val>
          <c:extLst>
            <c:ext xmlns:c16="http://schemas.microsoft.com/office/drawing/2014/chart" uri="{C3380CC4-5D6E-409C-BE32-E72D297353CC}">
              <c16:uniqueId val="{00000000-5706-471F-B03F-A7B4071D6525}"/>
            </c:ext>
          </c:extLst>
        </c:ser>
        <c:ser>
          <c:idx val="1"/>
          <c:order val="1"/>
          <c:tx>
            <c:strRef>
              <c:f>Marketing_ROI_KPIs!$R$9</c:f>
              <c:strCache>
                <c:ptCount val="1"/>
                <c:pt idx="0">
                  <c:v>Total Impressions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20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Marketing_ROI_KPIs!$P$10:$P$14</c:f>
              <c:strCache>
                <c:ptCount val="4"/>
                <c:pt idx="0">
                  <c:v>Email</c:v>
                </c:pt>
                <c:pt idx="1">
                  <c:v>Search Ads</c:v>
                </c:pt>
                <c:pt idx="2">
                  <c:v>Social Media</c:v>
                </c:pt>
                <c:pt idx="3">
                  <c:v>TV</c:v>
                </c:pt>
              </c:strCache>
            </c:strRef>
          </c:cat>
          <c:val>
            <c:numRef>
              <c:f>Marketing_ROI_KPIs!$R$10:$R$14</c:f>
              <c:numCache>
                <c:formatCode>0</c:formatCode>
                <c:ptCount val="4"/>
                <c:pt idx="0">
                  <c:v>3009682</c:v>
                </c:pt>
                <c:pt idx="1">
                  <c:v>2317368</c:v>
                </c:pt>
                <c:pt idx="2">
                  <c:v>2906157</c:v>
                </c:pt>
                <c:pt idx="3">
                  <c:v>2717914</c:v>
                </c:pt>
              </c:numCache>
            </c:numRef>
          </c:val>
          <c:extLst>
            <c:ext xmlns:c16="http://schemas.microsoft.com/office/drawing/2014/chart" uri="{C3380CC4-5D6E-409C-BE32-E72D297353CC}">
              <c16:uniqueId val="{00000001-5706-471F-B03F-A7B4071D6525}"/>
            </c:ext>
          </c:extLst>
        </c:ser>
        <c:ser>
          <c:idx val="2"/>
          <c:order val="2"/>
          <c:tx>
            <c:strRef>
              <c:f>Marketing_ROI_KPIs!$S$9</c:f>
              <c:strCache>
                <c:ptCount val="1"/>
                <c:pt idx="0">
                  <c:v>Total Clicks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20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Marketing_ROI_KPIs!$P$10:$P$14</c:f>
              <c:strCache>
                <c:ptCount val="4"/>
                <c:pt idx="0">
                  <c:v>Email</c:v>
                </c:pt>
                <c:pt idx="1">
                  <c:v>Search Ads</c:v>
                </c:pt>
                <c:pt idx="2">
                  <c:v>Social Media</c:v>
                </c:pt>
                <c:pt idx="3">
                  <c:v>TV</c:v>
                </c:pt>
              </c:strCache>
            </c:strRef>
          </c:cat>
          <c:val>
            <c:numRef>
              <c:f>Marketing_ROI_KPIs!$S$10:$S$14</c:f>
              <c:numCache>
                <c:formatCode>0</c:formatCode>
                <c:ptCount val="4"/>
                <c:pt idx="0">
                  <c:v>154316</c:v>
                </c:pt>
                <c:pt idx="1">
                  <c:v>118895</c:v>
                </c:pt>
                <c:pt idx="2">
                  <c:v>156267</c:v>
                </c:pt>
                <c:pt idx="3">
                  <c:v>136944</c:v>
                </c:pt>
              </c:numCache>
            </c:numRef>
          </c:val>
          <c:extLst>
            <c:ext xmlns:c16="http://schemas.microsoft.com/office/drawing/2014/chart" uri="{C3380CC4-5D6E-409C-BE32-E72D297353CC}">
              <c16:uniqueId val="{00000002-5706-471F-B03F-A7B4071D6525}"/>
            </c:ext>
          </c:extLst>
        </c:ser>
        <c:ser>
          <c:idx val="3"/>
          <c:order val="3"/>
          <c:tx>
            <c:strRef>
              <c:f>Marketing_ROI_KPIs!$T$9</c:f>
              <c:strCache>
                <c:ptCount val="1"/>
                <c:pt idx="0">
                  <c:v>Total  Conversions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20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Marketing_ROI_KPIs!$P$10:$P$14</c:f>
              <c:strCache>
                <c:ptCount val="4"/>
                <c:pt idx="0">
                  <c:v>Email</c:v>
                </c:pt>
                <c:pt idx="1">
                  <c:v>Search Ads</c:v>
                </c:pt>
                <c:pt idx="2">
                  <c:v>Social Media</c:v>
                </c:pt>
                <c:pt idx="3">
                  <c:v>TV</c:v>
                </c:pt>
              </c:strCache>
            </c:strRef>
          </c:cat>
          <c:val>
            <c:numRef>
              <c:f>Marketing_ROI_KPIs!$T$10:$T$14</c:f>
              <c:numCache>
                <c:formatCode>0</c:formatCode>
                <c:ptCount val="4"/>
                <c:pt idx="0">
                  <c:v>28146</c:v>
                </c:pt>
                <c:pt idx="1">
                  <c:v>25200</c:v>
                </c:pt>
                <c:pt idx="2">
                  <c:v>23966</c:v>
                </c:pt>
                <c:pt idx="3">
                  <c:v>26055</c:v>
                </c:pt>
              </c:numCache>
            </c:numRef>
          </c:val>
          <c:extLst>
            <c:ext xmlns:c16="http://schemas.microsoft.com/office/drawing/2014/chart" uri="{C3380CC4-5D6E-409C-BE32-E72D297353CC}">
              <c16:uniqueId val="{00000003-5706-471F-B03F-A7B4071D6525}"/>
            </c:ext>
          </c:extLst>
        </c:ser>
        <c:ser>
          <c:idx val="4"/>
          <c:order val="4"/>
          <c:tx>
            <c:strRef>
              <c:f>Marketing_ROI_KPIs!$U$9</c:f>
              <c:strCache>
                <c:ptCount val="1"/>
                <c:pt idx="0">
                  <c:v>Total Sales Generated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20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Marketing_ROI_KPIs!$P$10:$P$14</c:f>
              <c:strCache>
                <c:ptCount val="4"/>
                <c:pt idx="0">
                  <c:v>Email</c:v>
                </c:pt>
                <c:pt idx="1">
                  <c:v>Search Ads</c:v>
                </c:pt>
                <c:pt idx="2">
                  <c:v>Social Media</c:v>
                </c:pt>
                <c:pt idx="3">
                  <c:v>TV</c:v>
                </c:pt>
              </c:strCache>
            </c:strRef>
          </c:cat>
          <c:val>
            <c:numRef>
              <c:f>Marketing_ROI_KPIs!$U$10:$U$14</c:f>
              <c:numCache>
                <c:formatCode>"₹"\ #,##0.00</c:formatCode>
                <c:ptCount val="4"/>
                <c:pt idx="0">
                  <c:v>924732</c:v>
                </c:pt>
                <c:pt idx="1">
                  <c:v>749214</c:v>
                </c:pt>
                <c:pt idx="2">
                  <c:v>1070767</c:v>
                </c:pt>
                <c:pt idx="3">
                  <c:v>1081210</c:v>
                </c:pt>
              </c:numCache>
            </c:numRef>
          </c:val>
          <c:extLst>
            <c:ext xmlns:c16="http://schemas.microsoft.com/office/drawing/2014/chart" uri="{C3380CC4-5D6E-409C-BE32-E72D297353CC}">
              <c16:uniqueId val="{00000004-5706-471F-B03F-A7B4071D6525}"/>
            </c:ext>
          </c:extLst>
        </c:ser>
        <c:dLbls>
          <c:dLblPos val="outEnd"/>
          <c:showLegendKey val="0"/>
          <c:showVal val="1"/>
          <c:showCatName val="0"/>
          <c:showSerName val="0"/>
          <c:showPercent val="0"/>
          <c:showBubbleSize val="0"/>
        </c:dLbls>
        <c:gapWidth val="182"/>
        <c:axId val="738030128"/>
        <c:axId val="738048368"/>
      </c:barChart>
      <c:catAx>
        <c:axId val="738030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solidFill>
                <a:latin typeface="+mn-lt"/>
                <a:ea typeface="+mn-ea"/>
                <a:cs typeface="+mn-cs"/>
              </a:defRPr>
            </a:pPr>
            <a:endParaRPr lang="en-US"/>
          </a:p>
        </c:txPr>
        <c:crossAx val="738048368"/>
        <c:crosses val="autoZero"/>
        <c:auto val="1"/>
        <c:lblAlgn val="ctr"/>
        <c:lblOffset val="100"/>
        <c:noMultiLvlLbl val="0"/>
      </c:catAx>
      <c:valAx>
        <c:axId val="738048368"/>
        <c:scaling>
          <c:orientation val="minMax"/>
        </c:scaling>
        <c:delete val="1"/>
        <c:axPos val="b"/>
        <c:numFmt formatCode="&quot;₹&quot;\ #,##0" sourceLinked="1"/>
        <c:majorTickMark val="none"/>
        <c:minorTickMark val="none"/>
        <c:tickLblPos val="nextTo"/>
        <c:crossAx val="73803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rtl="0">
            <a:defRPr lang="en-US" sz="2000" b="0" i="0" u="none" strike="noStrike" kern="1200" spc="0" baseline="0">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[Excel_Project_Datasets.xlsx]Marketing_ROI_KPIs!PivotTable7</c:name>
    <c:fmtId val="6"/>
  </c:pivotSource>
  <c:chart>
    <c:title>
      <c:tx>
        <c:rich>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r>
              <a:rPr lang="en-IN" sz="1400" b="1" i="0" u="none" strike="noStrike" kern="1200" spc="0" baseline="0">
                <a:solidFill>
                  <a:schemeClr val="tx1"/>
                </a:solidFill>
                <a:latin typeface="+mn-lt"/>
                <a:ea typeface="+mn-ea"/>
                <a:cs typeface="+mn-cs"/>
              </a:rPr>
              <a:t>Spent vs Sales through each channel</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Marketing_ROI_KPIs!$Q$16</c:f>
              <c:strCache>
                <c:ptCount val="1"/>
                <c:pt idx="0">
                  <c:v>Total Spend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Marketing_ROI_KPIs!$P$17:$P$21</c:f>
              <c:strCache>
                <c:ptCount val="4"/>
                <c:pt idx="0">
                  <c:v>Search Ads</c:v>
                </c:pt>
                <c:pt idx="1">
                  <c:v>Email</c:v>
                </c:pt>
                <c:pt idx="2">
                  <c:v>Social Media</c:v>
                </c:pt>
                <c:pt idx="3">
                  <c:v>TV</c:v>
                </c:pt>
              </c:strCache>
            </c:strRef>
          </c:cat>
          <c:val>
            <c:numRef>
              <c:f>Marketing_ROI_KPIs!$Q$17:$Q$21</c:f>
              <c:numCache>
                <c:formatCode>"₹"\ #,##0</c:formatCode>
                <c:ptCount val="4"/>
                <c:pt idx="0">
                  <c:v>679315</c:v>
                </c:pt>
                <c:pt idx="1">
                  <c:v>577048</c:v>
                </c:pt>
                <c:pt idx="2">
                  <c:v>810812</c:v>
                </c:pt>
                <c:pt idx="3">
                  <c:v>701998</c:v>
                </c:pt>
              </c:numCache>
            </c:numRef>
          </c:val>
          <c:extLst>
            <c:ext xmlns:c16="http://schemas.microsoft.com/office/drawing/2014/chart" uri="{C3380CC4-5D6E-409C-BE32-E72D297353CC}">
              <c16:uniqueId val="{00000000-101C-4C2E-B446-BF77A24E1A25}"/>
            </c:ext>
          </c:extLst>
        </c:ser>
        <c:ser>
          <c:idx val="1"/>
          <c:order val="1"/>
          <c:tx>
            <c:strRef>
              <c:f>Marketing_ROI_KPIs!$R$16</c:f>
              <c:strCache>
                <c:ptCount val="1"/>
                <c:pt idx="0">
                  <c:v>Total Sales Generated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Marketing_ROI_KPIs!$P$17:$P$21</c:f>
              <c:strCache>
                <c:ptCount val="4"/>
                <c:pt idx="0">
                  <c:v>Search Ads</c:v>
                </c:pt>
                <c:pt idx="1">
                  <c:v>Email</c:v>
                </c:pt>
                <c:pt idx="2">
                  <c:v>Social Media</c:v>
                </c:pt>
                <c:pt idx="3">
                  <c:v>TV</c:v>
                </c:pt>
              </c:strCache>
            </c:strRef>
          </c:cat>
          <c:val>
            <c:numRef>
              <c:f>Marketing_ROI_KPIs!$R$17:$R$21</c:f>
              <c:numCache>
                <c:formatCode>"₹"\ #,##0.00</c:formatCode>
                <c:ptCount val="4"/>
                <c:pt idx="0">
                  <c:v>749214</c:v>
                </c:pt>
                <c:pt idx="1">
                  <c:v>924732</c:v>
                </c:pt>
                <c:pt idx="2">
                  <c:v>1070767</c:v>
                </c:pt>
                <c:pt idx="3">
                  <c:v>1081210</c:v>
                </c:pt>
              </c:numCache>
            </c:numRef>
          </c:val>
          <c:extLst>
            <c:ext xmlns:c16="http://schemas.microsoft.com/office/drawing/2014/chart" uri="{C3380CC4-5D6E-409C-BE32-E72D297353CC}">
              <c16:uniqueId val="{00000001-101C-4C2E-B446-BF77A24E1A25}"/>
            </c:ext>
          </c:extLst>
        </c:ser>
        <c:dLbls>
          <c:dLblPos val="outEnd"/>
          <c:showLegendKey val="0"/>
          <c:showVal val="1"/>
          <c:showCatName val="0"/>
          <c:showSerName val="0"/>
          <c:showPercent val="0"/>
          <c:showBubbleSize val="0"/>
        </c:dLbls>
        <c:gapWidth val="219"/>
        <c:axId val="242205840"/>
        <c:axId val="242206320"/>
      </c:barChart>
      <c:catAx>
        <c:axId val="24220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solidFill>
                <a:latin typeface="+mn-lt"/>
                <a:ea typeface="+mn-ea"/>
                <a:cs typeface="+mn-cs"/>
              </a:defRPr>
            </a:pPr>
            <a:endParaRPr lang="en-US"/>
          </a:p>
        </c:txPr>
        <c:crossAx val="242206320"/>
        <c:crosses val="autoZero"/>
        <c:auto val="1"/>
        <c:lblAlgn val="ctr"/>
        <c:lblOffset val="100"/>
        <c:noMultiLvlLbl val="0"/>
      </c:catAx>
      <c:valAx>
        <c:axId val="242206320"/>
        <c:scaling>
          <c:orientation val="minMax"/>
        </c:scaling>
        <c:delete val="1"/>
        <c:axPos val="b"/>
        <c:numFmt formatCode="&quot;₹&quot;\ #,##0" sourceLinked="1"/>
        <c:majorTickMark val="none"/>
        <c:minorTickMark val="none"/>
        <c:tickLblPos val="nextTo"/>
        <c:crossAx val="24220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[Excel_Project_Datasets.xlsx]Marketing_ROI_KPIs!PivotTable1</c:name>
    <c:fmtId val="13"/>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2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2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2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Marketing_ROI_KPIs!$U$22</c:f>
              <c:strCache>
                <c:ptCount val="1"/>
                <c:pt idx="0">
                  <c:v>Sum of Spend</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lang="en-US" sz="2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Marketing_ROI_KPIs!$T$23:$T$27</c:f>
              <c:strCache>
                <c:ptCount val="4"/>
                <c:pt idx="0">
                  <c:v>TV</c:v>
                </c:pt>
                <c:pt idx="1">
                  <c:v>Social Media</c:v>
                </c:pt>
                <c:pt idx="2">
                  <c:v>Email</c:v>
                </c:pt>
                <c:pt idx="3">
                  <c:v>Search Ads</c:v>
                </c:pt>
              </c:strCache>
            </c:strRef>
          </c:cat>
          <c:val>
            <c:numRef>
              <c:f>Marketing_ROI_KPIs!$U$23:$U$27</c:f>
              <c:numCache>
                <c:formatCode>"₹"\ #,##0</c:formatCode>
                <c:ptCount val="4"/>
                <c:pt idx="0">
                  <c:v>701998</c:v>
                </c:pt>
                <c:pt idx="1">
                  <c:v>810812</c:v>
                </c:pt>
                <c:pt idx="2">
                  <c:v>577048</c:v>
                </c:pt>
                <c:pt idx="3">
                  <c:v>679315</c:v>
                </c:pt>
              </c:numCache>
            </c:numRef>
          </c:val>
          <c:extLst>
            <c:ext xmlns:c16="http://schemas.microsoft.com/office/drawing/2014/chart" uri="{C3380CC4-5D6E-409C-BE32-E72D297353CC}">
              <c16:uniqueId val="{00000000-AA48-4904-9F7A-C8FBCCBCB373}"/>
            </c:ext>
          </c:extLst>
        </c:ser>
        <c:ser>
          <c:idx val="1"/>
          <c:order val="1"/>
          <c:tx>
            <c:strRef>
              <c:f>Marketing_ROI_KPIs!$V$22</c:f>
              <c:strCache>
                <c:ptCount val="1"/>
                <c:pt idx="0">
                  <c:v>Sum of Sales Generated</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lang="en-US" sz="2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Marketing_ROI_KPIs!$T$23:$T$27</c:f>
              <c:strCache>
                <c:ptCount val="4"/>
                <c:pt idx="0">
                  <c:v>TV</c:v>
                </c:pt>
                <c:pt idx="1">
                  <c:v>Social Media</c:v>
                </c:pt>
                <c:pt idx="2">
                  <c:v>Email</c:v>
                </c:pt>
                <c:pt idx="3">
                  <c:v>Search Ads</c:v>
                </c:pt>
              </c:strCache>
            </c:strRef>
          </c:cat>
          <c:val>
            <c:numRef>
              <c:f>Marketing_ROI_KPIs!$V$23:$V$27</c:f>
              <c:numCache>
                <c:formatCode>"₹"\ #,##0</c:formatCode>
                <c:ptCount val="4"/>
                <c:pt idx="0">
                  <c:v>1081210</c:v>
                </c:pt>
                <c:pt idx="1">
                  <c:v>1070767</c:v>
                </c:pt>
                <c:pt idx="2">
                  <c:v>924732</c:v>
                </c:pt>
                <c:pt idx="3">
                  <c:v>749214</c:v>
                </c:pt>
              </c:numCache>
            </c:numRef>
          </c:val>
          <c:extLst>
            <c:ext xmlns:c16="http://schemas.microsoft.com/office/drawing/2014/chart" uri="{C3380CC4-5D6E-409C-BE32-E72D297353CC}">
              <c16:uniqueId val="{00000004-AA48-4904-9F7A-C8FBCCBCB373}"/>
            </c:ext>
          </c:extLst>
        </c:ser>
        <c:dLbls>
          <c:dLblPos val="outEnd"/>
          <c:showLegendKey val="0"/>
          <c:showVal val="1"/>
          <c:showCatName val="0"/>
          <c:showSerName val="0"/>
          <c:showPercent val="0"/>
          <c:showBubbleSize val="0"/>
        </c:dLbls>
        <c:gapWidth val="219"/>
        <c:axId val="1955296336"/>
        <c:axId val="1955299216"/>
      </c:barChart>
      <c:catAx>
        <c:axId val="1955296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2000" b="0" i="0" u="none" strike="noStrike" kern="1200" baseline="0">
                <a:solidFill>
                  <a:schemeClr val="tx1"/>
                </a:solidFill>
                <a:latin typeface="+mn-lt"/>
                <a:ea typeface="+mn-ea"/>
                <a:cs typeface="+mn-cs"/>
              </a:defRPr>
            </a:pPr>
            <a:endParaRPr lang="en-US"/>
          </a:p>
        </c:txPr>
        <c:crossAx val="1955299216"/>
        <c:crosses val="autoZero"/>
        <c:auto val="1"/>
        <c:lblAlgn val="ctr"/>
        <c:lblOffset val="100"/>
        <c:noMultiLvlLbl val="0"/>
      </c:catAx>
      <c:valAx>
        <c:axId val="1955299216"/>
        <c:scaling>
          <c:orientation val="minMax"/>
        </c:scaling>
        <c:delete val="1"/>
        <c:axPos val="l"/>
        <c:numFmt formatCode="&quot;₹&quot;\ #,##0" sourceLinked="1"/>
        <c:majorTickMark val="out"/>
        <c:minorTickMark val="none"/>
        <c:tickLblPos val="nextTo"/>
        <c:crossAx val="1955296336"/>
        <c:crosses val="autoZero"/>
        <c:crossBetween val="between"/>
      </c:valAx>
      <c:spPr>
        <a:noFill/>
        <a:ln>
          <a:noFill/>
        </a:ln>
        <a:effectLst/>
      </c:spPr>
    </c:plotArea>
    <c:legend>
      <c:legendPos val="t"/>
      <c:layout>
        <c:manualLayout>
          <c:xMode val="edge"/>
          <c:yMode val="edge"/>
          <c:x val="0.30594553637571215"/>
          <c:y val="6.0993878439840627E-3"/>
          <c:w val="0.62721757163308334"/>
          <c:h val="0.12281099149927233"/>
        </c:manualLayout>
      </c:layout>
      <c:overlay val="0"/>
      <c:spPr>
        <a:noFill/>
        <a:ln>
          <a:noFill/>
        </a:ln>
        <a:effectLst/>
      </c:spPr>
      <c:txPr>
        <a:bodyPr rot="0" spcFirstLastPara="1" vertOverflow="ellipsis" vert="horz" wrap="square" anchor="ctr" anchorCtr="1"/>
        <a:lstStyle/>
        <a:p>
          <a:pPr>
            <a:defRPr lang="en-US" sz="2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[Excel_Project_Datasets.xlsx]Marketing_ROI_KPIs!PivotTable2</c:name>
    <c:fmtId val="29"/>
  </c:pivotSource>
  <c:chart>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Marketing_ROI_KPIs!$U$30</c:f>
              <c:strCache>
                <c:ptCount val="1"/>
                <c:pt idx="0">
                  <c:v>Sum of Profit</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Marketing_ROI_KPIs!$T$31:$T$35</c:f>
              <c:strCache>
                <c:ptCount val="4"/>
                <c:pt idx="0">
                  <c:v>Social Media</c:v>
                </c:pt>
                <c:pt idx="1">
                  <c:v>TV</c:v>
                </c:pt>
                <c:pt idx="2">
                  <c:v>Search Ads</c:v>
                </c:pt>
                <c:pt idx="3">
                  <c:v>Email</c:v>
                </c:pt>
              </c:strCache>
            </c:strRef>
          </c:cat>
          <c:val>
            <c:numRef>
              <c:f>Marketing_ROI_KPIs!$U$31:$U$35</c:f>
              <c:numCache>
                <c:formatCode>"₹"\ #,##0</c:formatCode>
                <c:ptCount val="4"/>
                <c:pt idx="0">
                  <c:v>259955</c:v>
                </c:pt>
                <c:pt idx="1">
                  <c:v>379212</c:v>
                </c:pt>
                <c:pt idx="2">
                  <c:v>69899</c:v>
                </c:pt>
                <c:pt idx="3">
                  <c:v>347684</c:v>
                </c:pt>
              </c:numCache>
            </c:numRef>
          </c:val>
          <c:extLst>
            <c:ext xmlns:c16="http://schemas.microsoft.com/office/drawing/2014/chart" uri="{C3380CC4-5D6E-409C-BE32-E72D297353CC}">
              <c16:uniqueId val="{00000000-D249-489C-B29B-45731183C605}"/>
            </c:ext>
          </c:extLst>
        </c:ser>
        <c:ser>
          <c:idx val="1"/>
          <c:order val="1"/>
          <c:tx>
            <c:strRef>
              <c:f>Marketing_ROI_KPIs!$V$30</c:f>
              <c:strCache>
                <c:ptCount val="1"/>
                <c:pt idx="0">
                  <c:v>Sum of Spend</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Marketing_ROI_KPIs!$T$31:$T$35</c:f>
              <c:strCache>
                <c:ptCount val="4"/>
                <c:pt idx="0">
                  <c:v>Social Media</c:v>
                </c:pt>
                <c:pt idx="1">
                  <c:v>TV</c:v>
                </c:pt>
                <c:pt idx="2">
                  <c:v>Search Ads</c:v>
                </c:pt>
                <c:pt idx="3">
                  <c:v>Email</c:v>
                </c:pt>
              </c:strCache>
            </c:strRef>
          </c:cat>
          <c:val>
            <c:numRef>
              <c:f>Marketing_ROI_KPIs!$V$31:$V$35</c:f>
              <c:numCache>
                <c:formatCode>"₹"\ #,##0</c:formatCode>
                <c:ptCount val="4"/>
                <c:pt idx="0">
                  <c:v>810812</c:v>
                </c:pt>
                <c:pt idx="1">
                  <c:v>701998</c:v>
                </c:pt>
                <c:pt idx="2">
                  <c:v>679315</c:v>
                </c:pt>
                <c:pt idx="3">
                  <c:v>577048</c:v>
                </c:pt>
              </c:numCache>
            </c:numRef>
          </c:val>
          <c:extLst>
            <c:ext xmlns:c16="http://schemas.microsoft.com/office/drawing/2014/chart" uri="{C3380CC4-5D6E-409C-BE32-E72D297353CC}">
              <c16:uniqueId val="{00000001-D249-489C-B29B-45731183C605}"/>
            </c:ext>
          </c:extLst>
        </c:ser>
        <c:dLbls>
          <c:dLblPos val="outEnd"/>
          <c:showLegendKey val="0"/>
          <c:showVal val="1"/>
          <c:showCatName val="0"/>
          <c:showSerName val="0"/>
          <c:showPercent val="0"/>
          <c:showBubbleSize val="0"/>
        </c:dLbls>
        <c:gapWidth val="164"/>
        <c:overlap val="-22"/>
        <c:axId val="2092893728"/>
        <c:axId val="2092896128"/>
      </c:barChart>
      <c:catAx>
        <c:axId val="209289372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2000" b="0" i="0" u="none" strike="noStrike" kern="1200" baseline="0">
                <a:solidFill>
                  <a:schemeClr val="tx1">
                    <a:lumMod val="75000"/>
                    <a:lumOff val="25000"/>
                  </a:schemeClr>
                </a:solidFill>
                <a:latin typeface="+mn-lt"/>
                <a:ea typeface="+mn-ea"/>
                <a:cs typeface="+mn-cs"/>
              </a:defRPr>
            </a:pPr>
            <a:endParaRPr lang="en-US"/>
          </a:p>
        </c:txPr>
        <c:crossAx val="2092896128"/>
        <c:crosses val="autoZero"/>
        <c:auto val="1"/>
        <c:lblAlgn val="ctr"/>
        <c:lblOffset val="100"/>
        <c:noMultiLvlLbl val="0"/>
      </c:catAx>
      <c:valAx>
        <c:axId val="2092896128"/>
        <c:scaling>
          <c:orientation val="minMax"/>
        </c:scaling>
        <c:delete val="1"/>
        <c:axPos val="l"/>
        <c:numFmt formatCode="&quot;₹&quot;\ #,##0" sourceLinked="1"/>
        <c:majorTickMark val="none"/>
        <c:minorTickMark val="none"/>
        <c:tickLblPos val="nextTo"/>
        <c:crossAx val="2092893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[Excel_Project_Datasets.xlsx]Marketing_ROI_KPIs!PivotTable3</c:name>
    <c:fmtId val="36"/>
  </c:pivotSource>
  <c:chart>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Marketing_ROI_KPIs!$X$33</c:f>
              <c:strCache>
                <c:ptCount val="1"/>
                <c:pt idx="0">
                  <c:v>Sum of Profit</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Marketing_ROI_KPIs!$W$34:$W$38</c:f>
              <c:strCache>
                <c:ptCount val="4"/>
                <c:pt idx="0">
                  <c:v>TV</c:v>
                </c:pt>
                <c:pt idx="1">
                  <c:v>Social Media</c:v>
                </c:pt>
                <c:pt idx="2">
                  <c:v>Email</c:v>
                </c:pt>
                <c:pt idx="3">
                  <c:v>Search Ads</c:v>
                </c:pt>
              </c:strCache>
            </c:strRef>
          </c:cat>
          <c:val>
            <c:numRef>
              <c:f>Marketing_ROI_KPIs!$X$34:$X$38</c:f>
              <c:numCache>
                <c:formatCode>"₹"\ #,##0</c:formatCode>
                <c:ptCount val="4"/>
                <c:pt idx="0">
                  <c:v>379212</c:v>
                </c:pt>
                <c:pt idx="1">
                  <c:v>259955</c:v>
                </c:pt>
                <c:pt idx="2">
                  <c:v>347684</c:v>
                </c:pt>
                <c:pt idx="3">
                  <c:v>69899</c:v>
                </c:pt>
              </c:numCache>
            </c:numRef>
          </c:val>
          <c:extLst>
            <c:ext xmlns:c16="http://schemas.microsoft.com/office/drawing/2014/chart" uri="{C3380CC4-5D6E-409C-BE32-E72D297353CC}">
              <c16:uniqueId val="{00000000-8980-45DB-920C-9FBEC048F08A}"/>
            </c:ext>
          </c:extLst>
        </c:ser>
        <c:ser>
          <c:idx val="1"/>
          <c:order val="1"/>
          <c:tx>
            <c:strRef>
              <c:f>Marketing_ROI_KPIs!$Y$33</c:f>
              <c:strCache>
                <c:ptCount val="1"/>
                <c:pt idx="0">
                  <c:v>Sum of Sales Generated</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Marketing_ROI_KPIs!$W$34:$W$38</c:f>
              <c:strCache>
                <c:ptCount val="4"/>
                <c:pt idx="0">
                  <c:v>TV</c:v>
                </c:pt>
                <c:pt idx="1">
                  <c:v>Social Media</c:v>
                </c:pt>
                <c:pt idx="2">
                  <c:v>Email</c:v>
                </c:pt>
                <c:pt idx="3">
                  <c:v>Search Ads</c:v>
                </c:pt>
              </c:strCache>
            </c:strRef>
          </c:cat>
          <c:val>
            <c:numRef>
              <c:f>Marketing_ROI_KPIs!$Y$34:$Y$38</c:f>
              <c:numCache>
                <c:formatCode>"₹"\ #,##0</c:formatCode>
                <c:ptCount val="4"/>
                <c:pt idx="0">
                  <c:v>1081210</c:v>
                </c:pt>
                <c:pt idx="1">
                  <c:v>1070767</c:v>
                </c:pt>
                <c:pt idx="2">
                  <c:v>924732</c:v>
                </c:pt>
                <c:pt idx="3">
                  <c:v>749214</c:v>
                </c:pt>
              </c:numCache>
            </c:numRef>
          </c:val>
          <c:extLst>
            <c:ext xmlns:c16="http://schemas.microsoft.com/office/drawing/2014/chart" uri="{C3380CC4-5D6E-409C-BE32-E72D297353CC}">
              <c16:uniqueId val="{00000001-8980-45DB-920C-9FBEC048F08A}"/>
            </c:ext>
          </c:extLst>
        </c:ser>
        <c:dLbls>
          <c:dLblPos val="outEnd"/>
          <c:showLegendKey val="0"/>
          <c:showVal val="1"/>
          <c:showCatName val="0"/>
          <c:showSerName val="0"/>
          <c:showPercent val="0"/>
          <c:showBubbleSize val="0"/>
        </c:dLbls>
        <c:gapWidth val="164"/>
        <c:overlap val="-22"/>
        <c:axId val="1507807152"/>
        <c:axId val="1507808112"/>
      </c:barChart>
      <c:catAx>
        <c:axId val="150780715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2000" b="0" i="0" u="none" strike="noStrike" kern="1200" baseline="0">
                <a:solidFill>
                  <a:schemeClr val="tx1">
                    <a:lumMod val="75000"/>
                    <a:lumOff val="25000"/>
                  </a:schemeClr>
                </a:solidFill>
                <a:latin typeface="+mn-lt"/>
                <a:ea typeface="+mn-ea"/>
                <a:cs typeface="+mn-cs"/>
              </a:defRPr>
            </a:pPr>
            <a:endParaRPr lang="en-US"/>
          </a:p>
        </c:txPr>
        <c:crossAx val="1507808112"/>
        <c:crosses val="autoZero"/>
        <c:auto val="1"/>
        <c:lblAlgn val="ctr"/>
        <c:lblOffset val="100"/>
        <c:noMultiLvlLbl val="0"/>
      </c:catAx>
      <c:valAx>
        <c:axId val="1507808112"/>
        <c:scaling>
          <c:orientation val="minMax"/>
        </c:scaling>
        <c:delete val="1"/>
        <c:axPos val="l"/>
        <c:numFmt formatCode="&quot;₹&quot;\ #,##0" sourceLinked="1"/>
        <c:majorTickMark val="none"/>
        <c:minorTickMark val="none"/>
        <c:tickLblPos val="nextTo"/>
        <c:crossAx val="15078071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lgn="ctr">
            <a:defRPr lang="en-US" sz="20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[Excel_Project_Datasets.xlsx]Marketing_ROI_KPIs!PivotTable4</c:name>
    <c:fmtId val="17"/>
  </c:pivotSource>
  <c:chart>
    <c:title>
      <c:tx>
        <c:rich>
          <a:bodyPr rot="0" spcFirstLastPara="1" vertOverflow="ellipsis" vert="horz" wrap="square" anchor="ctr" anchorCtr="1"/>
          <a:lstStyle/>
          <a:p>
            <a:pPr>
              <a:defRPr sz="3200" b="1" i="0" u="none" strike="noStrike" kern="1200" cap="all" spc="150" baseline="0">
                <a:solidFill>
                  <a:schemeClr val="tx1"/>
                </a:solidFill>
                <a:latin typeface="+mn-lt"/>
                <a:ea typeface="+mn-ea"/>
                <a:cs typeface="+mn-cs"/>
              </a:defRPr>
            </a:pPr>
            <a:r>
              <a:rPr lang="en-US" sz="3200" b="1">
                <a:solidFill>
                  <a:schemeClr val="tx1"/>
                </a:solidFill>
              </a:rPr>
              <a:t>Channel vs Avg(CTR)</a:t>
            </a:r>
          </a:p>
        </c:rich>
      </c:tx>
      <c:overlay val="0"/>
      <c:spPr>
        <a:noFill/>
        <a:ln>
          <a:noFill/>
        </a:ln>
        <a:effectLst/>
      </c:spPr>
      <c:txPr>
        <a:bodyPr rot="0" spcFirstLastPara="1" vertOverflow="ellipsis" vert="horz" wrap="square" anchor="ctr" anchorCtr="1"/>
        <a:lstStyle/>
        <a:p>
          <a:pPr>
            <a:defRPr sz="3200" b="1" i="0" u="none" strike="noStrike" kern="1200" cap="all" spc="150" baseline="0">
              <a:solidFill>
                <a:schemeClr val="tx1"/>
              </a:solidFill>
              <a:latin typeface="+mn-lt"/>
              <a:ea typeface="+mn-ea"/>
              <a:cs typeface="+mn-cs"/>
            </a:defRPr>
          </a:pPr>
          <a:endParaRPr lang="en-US"/>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3200" b="1" i="0" u="none" strike="noStrike" kern="1200" cap="all" spc="15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Marketing_ROI_KPIs!$Y$3</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3200" b="1" i="0" u="none" strike="noStrike" kern="1200" cap="all" spc="15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Marketing_ROI_KPIs!$X$4:$X$8</c:f>
              <c:strCache>
                <c:ptCount val="4"/>
                <c:pt idx="0">
                  <c:v>TV</c:v>
                </c:pt>
                <c:pt idx="1">
                  <c:v>Social Media</c:v>
                </c:pt>
                <c:pt idx="2">
                  <c:v>Search Ads</c:v>
                </c:pt>
                <c:pt idx="3">
                  <c:v>Email</c:v>
                </c:pt>
              </c:strCache>
            </c:strRef>
          </c:cat>
          <c:val>
            <c:numRef>
              <c:f>Marketing_ROI_KPIs!$Y$4:$Y$8</c:f>
              <c:numCache>
                <c:formatCode>0%</c:formatCode>
                <c:ptCount val="4"/>
                <c:pt idx="0">
                  <c:v>8.8269555151485865E-2</c:v>
                </c:pt>
                <c:pt idx="1">
                  <c:v>8.4008407968083676E-2</c:v>
                </c:pt>
                <c:pt idx="2">
                  <c:v>6.4264098167303385E-2</c:v>
                </c:pt>
                <c:pt idx="3">
                  <c:v>6.2511296878079242E-2</c:v>
                </c:pt>
              </c:numCache>
            </c:numRef>
          </c:val>
          <c:extLst>
            <c:ext xmlns:c16="http://schemas.microsoft.com/office/drawing/2014/chart" uri="{C3380CC4-5D6E-409C-BE32-E72D297353CC}">
              <c16:uniqueId val="{00000000-2292-499D-9221-8BF7252CEFEC}"/>
            </c:ext>
          </c:extLst>
        </c:ser>
        <c:dLbls>
          <c:dLblPos val="outEnd"/>
          <c:showLegendKey val="0"/>
          <c:showVal val="1"/>
          <c:showCatName val="0"/>
          <c:showSerName val="0"/>
          <c:showPercent val="0"/>
          <c:showBubbleSize val="0"/>
        </c:dLbls>
        <c:gapWidth val="164"/>
        <c:overlap val="-22"/>
        <c:axId val="1955298736"/>
        <c:axId val="1955289136"/>
      </c:barChart>
      <c:catAx>
        <c:axId val="195529873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lgn="ctr" rtl="0">
              <a:defRPr lang="en-US" sz="1800" b="1" i="0" u="none" strike="noStrike" kern="1200" cap="all" spc="150" baseline="0">
                <a:solidFill>
                  <a:schemeClr val="tx1"/>
                </a:solidFill>
                <a:latin typeface="+mn-lt"/>
                <a:ea typeface="+mn-ea"/>
                <a:cs typeface="+mn-cs"/>
              </a:defRPr>
            </a:pPr>
            <a:endParaRPr lang="en-US"/>
          </a:p>
        </c:txPr>
        <c:crossAx val="1955289136"/>
        <c:crosses val="autoZero"/>
        <c:auto val="1"/>
        <c:lblAlgn val="ctr"/>
        <c:lblOffset val="100"/>
        <c:noMultiLvlLbl val="0"/>
      </c:catAx>
      <c:valAx>
        <c:axId val="1955289136"/>
        <c:scaling>
          <c:orientation val="minMax"/>
        </c:scaling>
        <c:delete val="1"/>
        <c:axPos val="l"/>
        <c:numFmt formatCode="0%" sourceLinked="1"/>
        <c:majorTickMark val="none"/>
        <c:minorTickMark val="none"/>
        <c:tickLblPos val="nextTo"/>
        <c:crossAx val="195529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[Excel_Project_Datasets.xlsx]Marketing_ROI_KPIs!PivotTable8</c:name>
    <c:fmtId val="24"/>
  </c:pivotSource>
  <c:chart>
    <c:title>
      <c:tx>
        <c:rich>
          <a:bodyPr rot="0" spcFirstLastPara="1" vertOverflow="ellipsis" vert="horz" wrap="square" anchor="ctr" anchorCtr="1"/>
          <a:lstStyle/>
          <a:p>
            <a:pPr algn="ctr" rtl="0">
              <a:defRPr lang="en-US" sz="3200" b="1" i="0" u="none" strike="noStrike" kern="1200" cap="all" spc="150" baseline="0">
                <a:solidFill>
                  <a:schemeClr val="tx1"/>
                </a:solidFill>
                <a:latin typeface="+mn-lt"/>
                <a:ea typeface="+mn-ea"/>
                <a:cs typeface="+mn-cs"/>
              </a:defRPr>
            </a:pPr>
            <a:r>
              <a:rPr lang="en-US" sz="3200" b="1" i="0" u="none" strike="noStrike" kern="1200" cap="all" spc="150" baseline="0">
                <a:solidFill>
                  <a:schemeClr val="tx1"/>
                </a:solidFill>
                <a:latin typeface="+mn-lt"/>
                <a:ea typeface="+mn-ea"/>
                <a:cs typeface="+mn-cs"/>
              </a:rPr>
              <a:t>Avg CR vs channel</a:t>
            </a:r>
          </a:p>
        </c:rich>
      </c:tx>
      <c:overlay val="0"/>
      <c:spPr>
        <a:noFill/>
        <a:ln>
          <a:noFill/>
        </a:ln>
        <a:effectLst/>
      </c:spPr>
      <c:txPr>
        <a:bodyPr rot="0" spcFirstLastPara="1" vertOverflow="ellipsis" vert="horz" wrap="square" anchor="ctr" anchorCtr="1"/>
        <a:lstStyle/>
        <a:p>
          <a:pPr algn="ctr" rtl="0">
            <a:defRPr lang="en-US" sz="3200" b="1" i="0" u="none" strike="noStrike" kern="1200" cap="all" spc="150" baseline="0">
              <a:solidFill>
                <a:schemeClr val="tx1"/>
              </a:solidFill>
              <a:latin typeface="+mn-lt"/>
              <a:ea typeface="+mn-ea"/>
              <a:cs typeface="+mn-cs"/>
            </a:defRPr>
          </a:pPr>
          <a:endParaRPr lang="en-US"/>
        </a:p>
      </c:txPr>
    </c:title>
    <c:autoTitleDeleted val="0"/>
    <c:pivotFmts>
      <c:pivotFmt>
        <c:idx val="0"/>
        <c:spPr>
          <a:pattFill prst="narVert">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3200" b="1" i="0" u="none" strike="noStrike" kern="1200" cap="all" spc="15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Marketing_ROI_KPIs!$X$10</c:f>
              <c:strCache>
                <c:ptCount val="1"/>
                <c:pt idx="0">
                  <c:v>Total</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3200" b="1" i="0" u="none" strike="noStrike" kern="1200" cap="all" spc="15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Marketing_ROI_KPIs!$W$11:$W$15</c:f>
              <c:strCache>
                <c:ptCount val="4"/>
                <c:pt idx="0">
                  <c:v>TV</c:v>
                </c:pt>
                <c:pt idx="1">
                  <c:v>Search Ads</c:v>
                </c:pt>
                <c:pt idx="2">
                  <c:v>Email</c:v>
                </c:pt>
                <c:pt idx="3">
                  <c:v>Social Media</c:v>
                </c:pt>
              </c:strCache>
            </c:strRef>
          </c:cat>
          <c:val>
            <c:numRef>
              <c:f>Marketing_ROI_KPIs!$X$11:$X$15</c:f>
              <c:numCache>
                <c:formatCode>0%</c:formatCode>
                <c:ptCount val="4"/>
                <c:pt idx="0">
                  <c:v>0.83278360801372375</c:v>
                </c:pt>
                <c:pt idx="1">
                  <c:v>0.44976388913917342</c:v>
                </c:pt>
                <c:pt idx="2">
                  <c:v>0.3580241919472591</c:v>
                </c:pt>
                <c:pt idx="3">
                  <c:v>0.31187280331074441</c:v>
                </c:pt>
              </c:numCache>
            </c:numRef>
          </c:val>
          <c:extLst>
            <c:ext xmlns:c16="http://schemas.microsoft.com/office/drawing/2014/chart" uri="{C3380CC4-5D6E-409C-BE32-E72D297353CC}">
              <c16:uniqueId val="{00000000-D221-4886-A03A-22A84E39E2AA}"/>
            </c:ext>
          </c:extLst>
        </c:ser>
        <c:dLbls>
          <c:dLblPos val="outEnd"/>
          <c:showLegendKey val="0"/>
          <c:showVal val="1"/>
          <c:showCatName val="0"/>
          <c:showSerName val="0"/>
          <c:showPercent val="0"/>
          <c:showBubbleSize val="0"/>
        </c:dLbls>
        <c:gapWidth val="227"/>
        <c:overlap val="-48"/>
        <c:axId val="1955284336"/>
        <c:axId val="1955296336"/>
      </c:barChart>
      <c:catAx>
        <c:axId val="195528433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lgn="ctr" rtl="0">
              <a:defRPr lang="en-US" sz="1800" b="1" i="0" u="none" strike="noStrike" kern="1200" cap="all" spc="150" baseline="0">
                <a:solidFill>
                  <a:schemeClr val="tx1"/>
                </a:solidFill>
                <a:latin typeface="+mn-lt"/>
                <a:ea typeface="+mn-ea"/>
                <a:cs typeface="+mn-cs"/>
              </a:defRPr>
            </a:pPr>
            <a:endParaRPr lang="en-US"/>
          </a:p>
        </c:txPr>
        <c:crossAx val="1955296336"/>
        <c:crosses val="autoZero"/>
        <c:auto val="1"/>
        <c:lblAlgn val="ctr"/>
        <c:lblOffset val="100"/>
        <c:noMultiLvlLbl val="0"/>
      </c:catAx>
      <c:valAx>
        <c:axId val="1955296336"/>
        <c:scaling>
          <c:orientation val="minMax"/>
        </c:scaling>
        <c:delete val="1"/>
        <c:axPos val="b"/>
        <c:numFmt formatCode="0%" sourceLinked="1"/>
        <c:majorTickMark val="none"/>
        <c:minorTickMark val="none"/>
        <c:tickLblPos val="nextTo"/>
        <c:crossAx val="195528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[Excel_Project_Datasets.xlsx]Marketing_ROI_KPIs!PivotTable9</c:name>
    <c:fmtId val="30"/>
  </c:pivotSource>
  <c:chart>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800" b="1" i="0" u="none" strike="noStrike" kern="1200" cap="all" spc="15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800" b="1" i="0" u="none" strike="noStrike" kern="1200" cap="all" spc="15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800" b="1" i="0" u="none" strike="noStrike" kern="1200" cap="all" spc="15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Marketing_ROI_KPIs!$Y$19</c:f>
              <c:strCache>
                <c:ptCount val="1"/>
                <c:pt idx="0">
                  <c:v>Average Spend</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800" b="1" i="0" u="none" strike="noStrike" kern="1200" cap="all" spc="15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Marketing_ROI_KPIs!$X$20:$X$24</c:f>
              <c:strCache>
                <c:ptCount val="4"/>
                <c:pt idx="0">
                  <c:v>Email</c:v>
                </c:pt>
                <c:pt idx="1">
                  <c:v>Search Ads</c:v>
                </c:pt>
                <c:pt idx="2">
                  <c:v>Social Media</c:v>
                </c:pt>
                <c:pt idx="3">
                  <c:v>TV</c:v>
                </c:pt>
              </c:strCache>
            </c:strRef>
          </c:cat>
          <c:val>
            <c:numRef>
              <c:f>Marketing_ROI_KPIs!$Y$20:$Y$24</c:f>
              <c:numCache>
                <c:formatCode>"₹"\ #,##0</c:formatCode>
                <c:ptCount val="4"/>
                <c:pt idx="0">
                  <c:v>23081.919999999998</c:v>
                </c:pt>
                <c:pt idx="1">
                  <c:v>29535.434782608696</c:v>
                </c:pt>
                <c:pt idx="2">
                  <c:v>30030.074074074073</c:v>
                </c:pt>
                <c:pt idx="3">
                  <c:v>28079.919999999998</c:v>
                </c:pt>
              </c:numCache>
            </c:numRef>
          </c:val>
          <c:extLst>
            <c:ext xmlns:c16="http://schemas.microsoft.com/office/drawing/2014/chart" uri="{C3380CC4-5D6E-409C-BE32-E72D297353CC}">
              <c16:uniqueId val="{00000000-18E5-4627-84E4-C97991CE84AF}"/>
            </c:ext>
          </c:extLst>
        </c:ser>
        <c:ser>
          <c:idx val="1"/>
          <c:order val="1"/>
          <c:tx>
            <c:strRef>
              <c:f>Marketing_ROI_KPIs!$Z$19</c:f>
              <c:strCache>
                <c:ptCount val="1"/>
                <c:pt idx="0">
                  <c:v>Average Profit</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800" b="1" i="0" u="none" strike="noStrike" kern="1200" cap="all" spc="15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Marketing_ROI_KPIs!$X$20:$X$24</c:f>
              <c:strCache>
                <c:ptCount val="4"/>
                <c:pt idx="0">
                  <c:v>Email</c:v>
                </c:pt>
                <c:pt idx="1">
                  <c:v>Search Ads</c:v>
                </c:pt>
                <c:pt idx="2">
                  <c:v>Social Media</c:v>
                </c:pt>
                <c:pt idx="3">
                  <c:v>TV</c:v>
                </c:pt>
              </c:strCache>
            </c:strRef>
          </c:cat>
          <c:val>
            <c:numRef>
              <c:f>Marketing_ROI_KPIs!$Z$20:$Z$24</c:f>
              <c:numCache>
                <c:formatCode>"₹"\ #,##0</c:formatCode>
                <c:ptCount val="4"/>
                <c:pt idx="0">
                  <c:v>347684</c:v>
                </c:pt>
                <c:pt idx="1">
                  <c:v>69899</c:v>
                </c:pt>
                <c:pt idx="2">
                  <c:v>259955</c:v>
                </c:pt>
                <c:pt idx="3">
                  <c:v>379212</c:v>
                </c:pt>
              </c:numCache>
            </c:numRef>
          </c:val>
          <c:extLst>
            <c:ext xmlns:c16="http://schemas.microsoft.com/office/drawing/2014/chart" uri="{C3380CC4-5D6E-409C-BE32-E72D297353CC}">
              <c16:uniqueId val="{00000001-18E5-4627-84E4-C97991CE84AF}"/>
            </c:ext>
          </c:extLst>
        </c:ser>
        <c:dLbls>
          <c:dLblPos val="outEnd"/>
          <c:showLegendKey val="0"/>
          <c:showVal val="1"/>
          <c:showCatName val="0"/>
          <c:showSerName val="0"/>
          <c:showPercent val="0"/>
          <c:showBubbleSize val="0"/>
        </c:dLbls>
        <c:gapWidth val="164"/>
        <c:overlap val="-22"/>
        <c:axId val="2132392656"/>
        <c:axId val="2132393616"/>
      </c:barChart>
      <c:catAx>
        <c:axId val="213239265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lgn="ctr" rtl="0">
              <a:defRPr lang="en-US" sz="1800" b="1" i="0" u="none" strike="noStrike" kern="1200" cap="all" spc="150" baseline="0">
                <a:solidFill>
                  <a:schemeClr val="tx1"/>
                </a:solidFill>
                <a:latin typeface="+mn-lt"/>
                <a:ea typeface="+mn-ea"/>
                <a:cs typeface="+mn-cs"/>
              </a:defRPr>
            </a:pPr>
            <a:endParaRPr lang="en-US"/>
          </a:p>
        </c:txPr>
        <c:crossAx val="2132393616"/>
        <c:crosses val="autoZero"/>
        <c:auto val="1"/>
        <c:lblAlgn val="ctr"/>
        <c:lblOffset val="100"/>
        <c:noMultiLvlLbl val="0"/>
      </c:catAx>
      <c:valAx>
        <c:axId val="2132393616"/>
        <c:scaling>
          <c:orientation val="minMax"/>
        </c:scaling>
        <c:delete val="1"/>
        <c:axPos val="l"/>
        <c:numFmt formatCode="&quot;₹&quot;\ #,##0" sourceLinked="1"/>
        <c:majorTickMark val="none"/>
        <c:minorTickMark val="none"/>
        <c:tickLblPos val="nextTo"/>
        <c:crossAx val="213239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lgn="ctr" rtl="0">
            <a:defRPr lang="en-US" sz="3200" b="1" i="0" u="none" strike="noStrike" kern="1200" cap="all" spc="15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[Excel_Project_Datasets.xlsx]Marketing_ROI_KPIs!PivotTable10</c:name>
    <c:fmtId val="39"/>
  </c:pivotSource>
  <c:chart>
    <c:title>
      <c:tx>
        <c:rich>
          <a:bodyPr rot="0" spcFirstLastPara="1" vertOverflow="ellipsis" vert="horz" wrap="square" anchor="ctr" anchorCtr="1"/>
          <a:lstStyle/>
          <a:p>
            <a:pPr algn="ctr" rtl="0">
              <a:defRPr lang="en-US" sz="1800" b="1" i="0" u="none" strike="noStrike" kern="1200" cap="all" spc="150" baseline="0">
                <a:solidFill>
                  <a:schemeClr val="tx1"/>
                </a:solidFill>
                <a:latin typeface="+mn-lt"/>
                <a:ea typeface="+mn-ea"/>
                <a:cs typeface="+mn-cs"/>
              </a:defRPr>
            </a:pPr>
            <a:r>
              <a:rPr lang="en-US" sz="1800" b="1" i="0" u="none" strike="noStrike" kern="1200" cap="all" spc="150" baseline="0">
                <a:solidFill>
                  <a:schemeClr val="tx1"/>
                </a:solidFill>
                <a:latin typeface="+mn-lt"/>
                <a:ea typeface="+mn-ea"/>
                <a:cs typeface="+mn-cs"/>
              </a:rPr>
              <a:t>Channel vs avg CPA</a:t>
            </a:r>
          </a:p>
        </c:rich>
      </c:tx>
      <c:overlay val="0"/>
      <c:spPr>
        <a:noFill/>
        <a:ln>
          <a:noFill/>
        </a:ln>
        <a:effectLst/>
      </c:spPr>
      <c:txPr>
        <a:bodyPr rot="0" spcFirstLastPara="1" vertOverflow="ellipsis" vert="horz" wrap="square" anchor="ctr" anchorCtr="1"/>
        <a:lstStyle/>
        <a:p>
          <a:pPr algn="ctr" rtl="0">
            <a:defRPr lang="en-US" sz="1800" b="1" i="0" u="none" strike="noStrike" kern="1200" cap="all" spc="150" baseline="0">
              <a:solidFill>
                <a:schemeClr val="tx1"/>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2400" b="1" i="0" u="none" strike="noStrike" kern="1200" cap="all" spc="15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Marketing_ROI_KPIs!$AB$4</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EFDC-4084-B023-C43528CE07CE}"/>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EFDC-4084-B023-C43528CE07CE}"/>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EFDC-4084-B023-C43528CE07CE}"/>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EFDC-4084-B023-C43528CE07CE}"/>
              </c:ext>
            </c:extLst>
          </c:dPt>
          <c:dLbls>
            <c:spPr>
              <a:noFill/>
              <a:ln>
                <a:noFill/>
              </a:ln>
              <a:effectLst/>
            </c:spPr>
            <c:txPr>
              <a:bodyPr rot="0" spcFirstLastPara="1" vertOverflow="ellipsis" vert="horz" wrap="square" lIns="38100" tIns="19050" rIns="38100" bIns="19050" anchor="ctr" anchorCtr="0">
                <a:spAutoFit/>
              </a:bodyPr>
              <a:lstStyle/>
              <a:p>
                <a:pPr algn="ctr" rtl="0">
                  <a:defRPr lang="en-US" sz="2400" b="1" i="0" u="none" strike="noStrike" kern="1200" cap="all" spc="15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Marketing_ROI_KPIs!$AA$5:$AA$9</c:f>
              <c:strCache>
                <c:ptCount val="4"/>
                <c:pt idx="0">
                  <c:v>Email</c:v>
                </c:pt>
                <c:pt idx="1">
                  <c:v>Search Ads</c:v>
                </c:pt>
                <c:pt idx="2">
                  <c:v>Social Media</c:v>
                </c:pt>
                <c:pt idx="3">
                  <c:v>TV</c:v>
                </c:pt>
              </c:strCache>
            </c:strRef>
          </c:cat>
          <c:val>
            <c:numRef>
              <c:f>Marketing_ROI_KPIs!$AB$5:$AB$9</c:f>
              <c:numCache>
                <c:formatCode>0</c:formatCode>
                <c:ptCount val="4"/>
                <c:pt idx="0">
                  <c:v>28.057133818459846</c:v>
                </c:pt>
                <c:pt idx="1">
                  <c:v>56.695354396710705</c:v>
                </c:pt>
                <c:pt idx="2">
                  <c:v>63.686196210558279</c:v>
                </c:pt>
                <c:pt idx="3">
                  <c:v>99.549119332524384</c:v>
                </c:pt>
              </c:numCache>
            </c:numRef>
          </c:val>
          <c:extLst>
            <c:ext xmlns:c16="http://schemas.microsoft.com/office/drawing/2014/chart" uri="{C3380CC4-5D6E-409C-BE32-E72D297353CC}">
              <c16:uniqueId val="{00000008-EFDC-4084-B023-C43528CE07C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
          <c:y val="7.4168215052649339E-2"/>
          <c:w val="1"/>
          <c:h val="0.20611660373091001"/>
        </c:manualLayout>
      </c:layout>
      <c:overlay val="0"/>
      <c:spPr>
        <a:noFill/>
        <a:ln>
          <a:noFill/>
        </a:ln>
        <a:effectLst/>
      </c:spPr>
      <c:txPr>
        <a:bodyPr rot="0" spcFirstLastPara="1" vertOverflow="ellipsis" vert="horz" wrap="square" anchor="ctr" anchorCtr="1"/>
        <a:lstStyle/>
        <a:p>
          <a:pPr algn="ctr" rtl="0">
            <a:defRPr lang="en-US" sz="1800" b="1" i="0" u="none" strike="noStrike" kern="1200" cap="all" spc="15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6">
  <a:schemeClr val="accent3"/>
</cs:colorStyle>
</file>

<file path=xl/charts/colors17.xml><?xml version="1.0" encoding="utf-8"?>
<cs:colorStyle xmlns:cs="http://schemas.microsoft.com/office/drawing/2012/chartStyle" xmlns:a="http://schemas.openxmlformats.org/drawingml/2006/main" meth="withinLinear" id="17">
  <a:schemeClr val="accent4"/>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6">
  <a:schemeClr val="accent3"/>
</cs:colorStyle>
</file>

<file path=xl/charts/colors20.xml><?xml version="1.0" encoding="utf-8"?>
<cs:colorStyle xmlns:cs="http://schemas.microsoft.com/office/drawing/2012/chartStyle" xmlns:a="http://schemas.openxmlformats.org/drawingml/2006/main" meth="withinLinear" id="17">
  <a:schemeClr val="accent4"/>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8.xml"/><Relationship Id="rId3" Type="http://schemas.openxmlformats.org/officeDocument/2006/relationships/chart" Target="../charts/chart23.xml"/><Relationship Id="rId7" Type="http://schemas.openxmlformats.org/officeDocument/2006/relationships/chart" Target="../charts/chart27.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5" Type="http://schemas.openxmlformats.org/officeDocument/2006/relationships/chart" Target="../charts/chart25.xml"/><Relationship Id="rId10" Type="http://schemas.openxmlformats.org/officeDocument/2006/relationships/chart" Target="../charts/chart30.xml"/><Relationship Id="rId4" Type="http://schemas.openxmlformats.org/officeDocument/2006/relationships/chart" Target="../charts/chart24.xml"/><Relationship Id="rId9"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0</xdr:col>
      <xdr:colOff>361950</xdr:colOff>
      <xdr:row>2</xdr:row>
      <xdr:rowOff>146050</xdr:rowOff>
    </xdr:from>
    <xdr:to>
      <xdr:col>8</xdr:col>
      <xdr:colOff>57150</xdr:colOff>
      <xdr:row>17</xdr:row>
      <xdr:rowOff>127000</xdr:rowOff>
    </xdr:to>
    <xdr:graphicFrame macro="">
      <xdr:nvGraphicFramePr>
        <xdr:cNvPr id="3" name="Chart 2">
          <a:extLst>
            <a:ext uri="{FF2B5EF4-FFF2-40B4-BE49-F238E27FC236}">
              <a16:creationId xmlns:a16="http://schemas.microsoft.com/office/drawing/2014/main" id="{275C6F22-F007-443C-8AFB-DE2267598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377461</xdr:colOff>
      <xdr:row>18</xdr:row>
      <xdr:rowOff>147820</xdr:rowOff>
    </xdr:from>
    <xdr:to>
      <xdr:col>8</xdr:col>
      <xdr:colOff>72660</xdr:colOff>
      <xdr:row>33</xdr:row>
      <xdr:rowOff>128770</xdr:rowOff>
    </xdr:to>
    <xdr:graphicFrame macro="">
      <xdr:nvGraphicFramePr>
        <xdr:cNvPr id="4" name="Chart 3">
          <a:extLst>
            <a:ext uri="{FF2B5EF4-FFF2-40B4-BE49-F238E27FC236}">
              <a16:creationId xmlns:a16="http://schemas.microsoft.com/office/drawing/2014/main" id="{A27BFD0D-23C5-4F23-A976-9AFD154E3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468443</xdr:colOff>
      <xdr:row>3</xdr:row>
      <xdr:rowOff>10410</xdr:rowOff>
    </xdr:from>
    <xdr:to>
      <xdr:col>16</xdr:col>
      <xdr:colOff>159063</xdr:colOff>
      <xdr:row>17</xdr:row>
      <xdr:rowOff>175510</xdr:rowOff>
    </xdr:to>
    <xdr:graphicFrame macro="">
      <xdr:nvGraphicFramePr>
        <xdr:cNvPr id="5" name="Chart 4">
          <a:extLst>
            <a:ext uri="{FF2B5EF4-FFF2-40B4-BE49-F238E27FC236}">
              <a16:creationId xmlns:a16="http://schemas.microsoft.com/office/drawing/2014/main" id="{64676358-F261-4862-B401-143D983BF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221659</xdr:colOff>
      <xdr:row>34</xdr:row>
      <xdr:rowOff>152199</xdr:rowOff>
    </xdr:from>
    <xdr:to>
      <xdr:col>17</xdr:col>
      <xdr:colOff>525381</xdr:colOff>
      <xdr:row>49</xdr:row>
      <xdr:rowOff>131178</xdr:rowOff>
    </xdr:to>
    <xdr:graphicFrame macro="">
      <xdr:nvGraphicFramePr>
        <xdr:cNvPr id="6" name="Chart 5">
          <a:extLst>
            <a:ext uri="{FF2B5EF4-FFF2-40B4-BE49-F238E27FC236}">
              <a16:creationId xmlns:a16="http://schemas.microsoft.com/office/drawing/2014/main" id="{A0AFEEAF-9ABC-4287-A3BD-ECFCA19C2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423571</xdr:colOff>
      <xdr:row>19</xdr:row>
      <xdr:rowOff>75023</xdr:rowOff>
    </xdr:from>
    <xdr:to>
      <xdr:col>16</xdr:col>
      <xdr:colOff>114191</xdr:colOff>
      <xdr:row>34</xdr:row>
      <xdr:rowOff>52746</xdr:rowOff>
    </xdr:to>
    <xdr:graphicFrame macro="">
      <xdr:nvGraphicFramePr>
        <xdr:cNvPr id="2" name="Chart 1">
          <a:extLst>
            <a:ext uri="{FF2B5EF4-FFF2-40B4-BE49-F238E27FC236}">
              <a16:creationId xmlns:a16="http://schemas.microsoft.com/office/drawing/2014/main" id="{72B65529-31E6-4868-95F4-791548BD2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694646</xdr:colOff>
      <xdr:row>35</xdr:row>
      <xdr:rowOff>16185</xdr:rowOff>
    </xdr:from>
    <xdr:to>
      <xdr:col>23</xdr:col>
      <xdr:colOff>470281</xdr:colOff>
      <xdr:row>49</xdr:row>
      <xdr:rowOff>181151</xdr:rowOff>
    </xdr:to>
    <xdr:graphicFrame macro="">
      <xdr:nvGraphicFramePr>
        <xdr:cNvPr id="7" name="Chart 6">
          <a:extLst>
            <a:ext uri="{FF2B5EF4-FFF2-40B4-BE49-F238E27FC236}">
              <a16:creationId xmlns:a16="http://schemas.microsoft.com/office/drawing/2014/main" id="{FEF17147-2C57-4E83-8783-8CB76B07E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342627</xdr:colOff>
      <xdr:row>34</xdr:row>
      <xdr:rowOff>142328</xdr:rowOff>
    </xdr:from>
    <xdr:to>
      <xdr:col>9</xdr:col>
      <xdr:colOff>558764</xdr:colOff>
      <xdr:row>49</xdr:row>
      <xdr:rowOff>132255</xdr:rowOff>
    </xdr:to>
    <xdr:graphicFrame macro="">
      <xdr:nvGraphicFramePr>
        <xdr:cNvPr id="8" name="Chart 7">
          <a:extLst>
            <a:ext uri="{FF2B5EF4-FFF2-40B4-BE49-F238E27FC236}">
              <a16:creationId xmlns:a16="http://schemas.microsoft.com/office/drawing/2014/main" id="{FDFFF538-40C8-4132-B6FA-35FCF1E79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374364</xdr:colOff>
      <xdr:row>3</xdr:row>
      <xdr:rowOff>13905</xdr:rowOff>
    </xdr:from>
    <xdr:to>
      <xdr:col>17</xdr:col>
      <xdr:colOff>1593508</xdr:colOff>
      <xdr:row>10</xdr:row>
      <xdr:rowOff>170501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62297120-FB72-8EE0-AC0D-9B657484B3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206622" y="566970"/>
              <a:ext cx="1833660" cy="1447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430430</xdr:colOff>
      <xdr:row>21</xdr:row>
      <xdr:rowOff>132334</xdr:rowOff>
    </xdr:from>
    <xdr:to>
      <xdr:col>17</xdr:col>
      <xdr:colOff>1648653</xdr:colOff>
      <xdr:row>30</xdr:row>
      <xdr:rowOff>27189</xdr:rowOff>
    </xdr:to>
    <mc:AlternateContent xmlns:mc="http://schemas.openxmlformats.org/markup-compatibility/2006" xmlns:a14="http://schemas.microsoft.com/office/drawing/2010/main">
      <mc:Choice Requires="a14">
        <xdr:graphicFrame macro="">
          <xdr:nvGraphicFramePr>
            <xdr:cNvPr id="10" name="Product Category">
              <a:extLst>
                <a:ext uri="{FF2B5EF4-FFF2-40B4-BE49-F238E27FC236}">
                  <a16:creationId xmlns:a16="http://schemas.microsoft.com/office/drawing/2014/main" id="{3FD63626-8E60-12A8-BB35-83EDB7B19DA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262688" y="4003786"/>
              <a:ext cx="1832739" cy="1554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433809</xdr:colOff>
      <xdr:row>11</xdr:row>
      <xdr:rowOff>115901</xdr:rowOff>
    </xdr:from>
    <xdr:to>
      <xdr:col>17</xdr:col>
      <xdr:colOff>1652953</xdr:colOff>
      <xdr:row>21</xdr:row>
      <xdr:rowOff>41166</xdr:rowOff>
    </xdr:to>
    <mc:AlternateContent xmlns:mc="http://schemas.openxmlformats.org/markup-compatibility/2006" xmlns:a14="http://schemas.microsoft.com/office/drawing/2010/main">
      <mc:Choice Requires="a14">
        <xdr:graphicFrame macro="">
          <xdr:nvGraphicFramePr>
            <xdr:cNvPr id="11" name="Sales Rep">
              <a:extLst>
                <a:ext uri="{FF2B5EF4-FFF2-40B4-BE49-F238E27FC236}">
                  <a16:creationId xmlns:a16="http://schemas.microsoft.com/office/drawing/2014/main" id="{34F71DFC-64CC-BC84-1AC0-1DCC49255B44}"/>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10266067" y="2143804"/>
              <a:ext cx="1833660" cy="1768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107075</xdr:colOff>
      <xdr:row>3</xdr:row>
      <xdr:rowOff>15465</xdr:rowOff>
    </xdr:from>
    <xdr:to>
      <xdr:col>21</xdr:col>
      <xdr:colOff>176338</xdr:colOff>
      <xdr:row>10</xdr:row>
      <xdr:rowOff>68832</xdr:rowOff>
    </xdr:to>
    <mc:AlternateContent xmlns:mc="http://schemas.openxmlformats.org/markup-compatibility/2006" xmlns:tsle="http://schemas.microsoft.com/office/drawing/2012/timeslicer">
      <mc:Choice Requires="tsle">
        <xdr:graphicFrame macro="">
          <xdr:nvGraphicFramePr>
            <xdr:cNvPr id="12" name="Date">
              <a:extLst>
                <a:ext uri="{FF2B5EF4-FFF2-40B4-BE49-F238E27FC236}">
                  <a16:creationId xmlns:a16="http://schemas.microsoft.com/office/drawing/2014/main" id="{33DD34D1-2578-BD26-5C7D-396B0BF54749}"/>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254010" y="568530"/>
              <a:ext cx="1912812" cy="13438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18</xdr:col>
      <xdr:colOff>95668</xdr:colOff>
      <xdr:row>11</xdr:row>
      <xdr:rowOff>66438</xdr:rowOff>
    </xdr:from>
    <xdr:to>
      <xdr:col>23</xdr:col>
      <xdr:colOff>522469</xdr:colOff>
      <xdr:row>22</xdr:row>
      <xdr:rowOff>56266</xdr:rowOff>
    </xdr:to>
    <xdr:graphicFrame macro="">
      <xdr:nvGraphicFramePr>
        <xdr:cNvPr id="13" name="Chart 12">
          <a:extLst>
            <a:ext uri="{FF2B5EF4-FFF2-40B4-BE49-F238E27FC236}">
              <a16:creationId xmlns:a16="http://schemas.microsoft.com/office/drawing/2014/main" id="{9F4ACFAB-C3C7-DA4F-B063-76EE5832A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115454</xdr:colOff>
      <xdr:row>22</xdr:row>
      <xdr:rowOff>134698</xdr:rowOff>
    </xdr:from>
    <xdr:to>
      <xdr:col>24</xdr:col>
      <xdr:colOff>18989</xdr:colOff>
      <xdr:row>29</xdr:row>
      <xdr:rowOff>77224</xdr:rowOff>
    </xdr:to>
    <xdr:graphicFrame macro="">
      <xdr:nvGraphicFramePr>
        <xdr:cNvPr id="14" name="Chart 13">
          <a:extLst>
            <a:ext uri="{FF2B5EF4-FFF2-40B4-BE49-F238E27FC236}">
              <a16:creationId xmlns:a16="http://schemas.microsoft.com/office/drawing/2014/main" id="{AE020B69-5EDA-4FCA-BC88-8580D57CE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367632</xdr:colOff>
      <xdr:row>30</xdr:row>
      <xdr:rowOff>100262</xdr:rowOff>
    </xdr:from>
    <xdr:to>
      <xdr:col>22</xdr:col>
      <xdr:colOff>36262</xdr:colOff>
      <xdr:row>34</xdr:row>
      <xdr:rowOff>100262</xdr:rowOff>
    </xdr:to>
    <xdr:graphicFrame macro="">
      <xdr:nvGraphicFramePr>
        <xdr:cNvPr id="15" name="Chart 14">
          <a:extLst>
            <a:ext uri="{FF2B5EF4-FFF2-40B4-BE49-F238E27FC236}">
              <a16:creationId xmlns:a16="http://schemas.microsoft.com/office/drawing/2014/main" id="{BCC87DB9-4BF9-4F27-8DB9-B07BF78AC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268310</xdr:colOff>
      <xdr:row>3</xdr:row>
      <xdr:rowOff>35775</xdr:rowOff>
    </xdr:from>
    <xdr:to>
      <xdr:col>25</xdr:col>
      <xdr:colOff>250422</xdr:colOff>
      <xdr:row>10</xdr:row>
      <xdr:rowOff>125210</xdr:rowOff>
    </xdr:to>
    <xdr:graphicFrame macro="">
      <xdr:nvGraphicFramePr>
        <xdr:cNvPr id="16" name="Chart 15">
          <a:extLst>
            <a:ext uri="{FF2B5EF4-FFF2-40B4-BE49-F238E27FC236}">
              <a16:creationId xmlns:a16="http://schemas.microsoft.com/office/drawing/2014/main" id="{A3C94C62-932A-4F79-8562-1E19CFF1C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348628</xdr:colOff>
      <xdr:row>0</xdr:row>
      <xdr:rowOff>74705</xdr:rowOff>
    </xdr:from>
    <xdr:to>
      <xdr:col>24</xdr:col>
      <xdr:colOff>585196</xdr:colOff>
      <xdr:row>2</xdr:row>
      <xdr:rowOff>149411</xdr:rowOff>
    </xdr:to>
    <xdr:sp macro="" textlink="">
      <xdr:nvSpPr>
        <xdr:cNvPr id="17" name="TextBox 16">
          <a:extLst>
            <a:ext uri="{FF2B5EF4-FFF2-40B4-BE49-F238E27FC236}">
              <a16:creationId xmlns:a16="http://schemas.microsoft.com/office/drawing/2014/main" id="{F00A0974-8FA9-FE6E-2756-378785186390}"/>
            </a:ext>
          </a:extLst>
        </xdr:cNvPr>
        <xdr:cNvSpPr txBox="1"/>
      </xdr:nvSpPr>
      <xdr:spPr>
        <a:xfrm>
          <a:off x="2178922" y="74705"/>
          <a:ext cx="14144313" cy="448235"/>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800" b="1" i="0" u="none">
              <a:solidFill>
                <a:schemeClr val="tx1">
                  <a:lumMod val="95000"/>
                  <a:lumOff val="5000"/>
                </a:schemeClr>
              </a:solidFill>
            </a:rPr>
            <a:t>                                                             Business Performance Dashboard</a:t>
          </a:r>
        </a:p>
        <a:p>
          <a:endParaRPr lang="en-IN" sz="2800" b="1" i="0" u="none">
            <a:solidFill>
              <a:schemeClr val="tx1">
                <a:lumMod val="95000"/>
                <a:lumOff val="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22225</xdr:colOff>
      <xdr:row>11</xdr:row>
      <xdr:rowOff>146050</xdr:rowOff>
    </xdr:from>
    <xdr:to>
      <xdr:col>11</xdr:col>
      <xdr:colOff>330200</xdr:colOff>
      <xdr:row>23</xdr:row>
      <xdr:rowOff>120650</xdr:rowOff>
    </xdr:to>
    <xdr:graphicFrame macro="">
      <xdr:nvGraphicFramePr>
        <xdr:cNvPr id="2" name="Chart 1">
          <a:extLst>
            <a:ext uri="{FF2B5EF4-FFF2-40B4-BE49-F238E27FC236}">
              <a16:creationId xmlns:a16="http://schemas.microsoft.com/office/drawing/2014/main" id="{81F3FA94-E7D2-A648-48BA-8D1D42BB42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27</xdr:row>
      <xdr:rowOff>0</xdr:rowOff>
    </xdr:from>
    <xdr:to>
      <xdr:col>11</xdr:col>
      <xdr:colOff>546100</xdr:colOff>
      <xdr:row>36</xdr:row>
      <xdr:rowOff>139700</xdr:rowOff>
    </xdr:to>
    <xdr:graphicFrame macro="">
      <xdr:nvGraphicFramePr>
        <xdr:cNvPr id="3" name="Chart 2">
          <a:extLst>
            <a:ext uri="{FF2B5EF4-FFF2-40B4-BE49-F238E27FC236}">
              <a16:creationId xmlns:a16="http://schemas.microsoft.com/office/drawing/2014/main" id="{D91331B5-127D-771C-1084-CE0DC1CB6F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60325</xdr:colOff>
      <xdr:row>39</xdr:row>
      <xdr:rowOff>171450</xdr:rowOff>
    </xdr:from>
    <xdr:to>
      <xdr:col>11</xdr:col>
      <xdr:colOff>19050</xdr:colOff>
      <xdr:row>52</xdr:row>
      <xdr:rowOff>95250</xdr:rowOff>
    </xdr:to>
    <xdr:graphicFrame macro="">
      <xdr:nvGraphicFramePr>
        <xdr:cNvPr id="4" name="Chart 3">
          <a:extLst>
            <a:ext uri="{FF2B5EF4-FFF2-40B4-BE49-F238E27FC236}">
              <a16:creationId xmlns:a16="http://schemas.microsoft.com/office/drawing/2014/main" id="{2CE01179-23D0-2683-5BBF-8A34A4D60D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196850</xdr:colOff>
      <xdr:row>2</xdr:row>
      <xdr:rowOff>19050</xdr:rowOff>
    </xdr:from>
    <xdr:to>
      <xdr:col>5</xdr:col>
      <xdr:colOff>445060</xdr:colOff>
      <xdr:row>14</xdr:row>
      <xdr:rowOff>25026</xdr:rowOff>
    </xdr:to>
    <xdr:graphicFrame macro="">
      <xdr:nvGraphicFramePr>
        <xdr:cNvPr id="2" name="Chart 1">
          <a:extLst>
            <a:ext uri="{FF2B5EF4-FFF2-40B4-BE49-F238E27FC236}">
              <a16:creationId xmlns:a16="http://schemas.microsoft.com/office/drawing/2014/main" id="{903EE4F9-126A-4DD0-A0E1-CD42E6180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xdr:row>
      <xdr:rowOff>0</xdr:rowOff>
    </xdr:from>
    <xdr:to>
      <xdr:col>11</xdr:col>
      <xdr:colOff>486335</xdr:colOff>
      <xdr:row>11</xdr:row>
      <xdr:rowOff>163232</xdr:rowOff>
    </xdr:to>
    <xdr:graphicFrame macro="">
      <xdr:nvGraphicFramePr>
        <xdr:cNvPr id="3" name="Chart 2">
          <a:extLst>
            <a:ext uri="{FF2B5EF4-FFF2-40B4-BE49-F238E27FC236}">
              <a16:creationId xmlns:a16="http://schemas.microsoft.com/office/drawing/2014/main" id="{9067F83A-16B3-4C1D-A00B-A5E03614BB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2</xdr:row>
      <xdr:rowOff>0</xdr:rowOff>
    </xdr:from>
    <xdr:to>
      <xdr:col>16</xdr:col>
      <xdr:colOff>508560</xdr:colOff>
      <xdr:row>14</xdr:row>
      <xdr:rowOff>141941</xdr:rowOff>
    </xdr:to>
    <xdr:graphicFrame macro="">
      <xdr:nvGraphicFramePr>
        <xdr:cNvPr id="4" name="Chart 3">
          <a:extLst>
            <a:ext uri="{FF2B5EF4-FFF2-40B4-BE49-F238E27FC236}">
              <a16:creationId xmlns:a16="http://schemas.microsoft.com/office/drawing/2014/main" id="{B53B3764-2351-4309-9706-642F7BF42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15</xdr:row>
      <xdr:rowOff>0</xdr:rowOff>
    </xdr:from>
    <xdr:to>
      <xdr:col>8</xdr:col>
      <xdr:colOff>304800</xdr:colOff>
      <xdr:row>29</xdr:row>
      <xdr:rowOff>165100</xdr:rowOff>
    </xdr:to>
    <xdr:graphicFrame macro="">
      <xdr:nvGraphicFramePr>
        <xdr:cNvPr id="5" name="Chart 4">
          <a:extLst>
            <a:ext uri="{FF2B5EF4-FFF2-40B4-BE49-F238E27FC236}">
              <a16:creationId xmlns:a16="http://schemas.microsoft.com/office/drawing/2014/main" id="{C3E3587F-2C34-4E4A-BBAD-5DAC1CF58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15</xdr:row>
      <xdr:rowOff>0</xdr:rowOff>
    </xdr:from>
    <xdr:to>
      <xdr:col>16</xdr:col>
      <xdr:colOff>304800</xdr:colOff>
      <xdr:row>29</xdr:row>
      <xdr:rowOff>165100</xdr:rowOff>
    </xdr:to>
    <xdr:graphicFrame macro="">
      <xdr:nvGraphicFramePr>
        <xdr:cNvPr id="6" name="Chart 5">
          <a:extLst>
            <a:ext uri="{FF2B5EF4-FFF2-40B4-BE49-F238E27FC236}">
              <a16:creationId xmlns:a16="http://schemas.microsoft.com/office/drawing/2014/main" id="{876F0962-7B4F-4210-B3BB-79D82EF1D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0</xdr:colOff>
      <xdr:row>15</xdr:row>
      <xdr:rowOff>0</xdr:rowOff>
    </xdr:from>
    <xdr:to>
      <xdr:col>24</xdr:col>
      <xdr:colOff>326030</xdr:colOff>
      <xdr:row>30</xdr:row>
      <xdr:rowOff>42080</xdr:rowOff>
    </xdr:to>
    <xdr:graphicFrame macro="">
      <xdr:nvGraphicFramePr>
        <xdr:cNvPr id="9" name="Chart 8">
          <a:extLst>
            <a:ext uri="{FF2B5EF4-FFF2-40B4-BE49-F238E27FC236}">
              <a16:creationId xmlns:a16="http://schemas.microsoft.com/office/drawing/2014/main" id="{BCFAE943-B7BC-430D-AC15-13C5BDB96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116574</xdr:colOff>
      <xdr:row>2</xdr:row>
      <xdr:rowOff>17913</xdr:rowOff>
    </xdr:from>
    <xdr:to>
      <xdr:col>27</xdr:col>
      <xdr:colOff>125673</xdr:colOff>
      <xdr:row>7</xdr:row>
      <xdr:rowOff>75822</xdr:rowOff>
    </xdr:to>
    <mc:AlternateContent xmlns:mc="http://schemas.openxmlformats.org/markup-compatibility/2006" xmlns:a14="http://schemas.microsoft.com/office/drawing/2010/main">
      <mc:Choice Requires="a14">
        <xdr:graphicFrame macro="">
          <xdr:nvGraphicFramePr>
            <xdr:cNvPr id="10" name="Product Awareness">
              <a:extLst>
                <a:ext uri="{FF2B5EF4-FFF2-40B4-BE49-F238E27FC236}">
                  <a16:creationId xmlns:a16="http://schemas.microsoft.com/office/drawing/2014/main" id="{0EBAC8A7-2AE1-0028-47CB-7F8741AFEF89}"/>
                </a:ext>
              </a:extLst>
            </xdr:cNvPr>
            <xdr:cNvGraphicFramePr/>
          </xdr:nvGraphicFramePr>
          <xdr:xfrm>
            <a:off x="0" y="0"/>
            <a:ext cx="0" cy="0"/>
          </xdr:xfrm>
          <a:graphic>
            <a:graphicData uri="http://schemas.microsoft.com/office/drawing/2010/slicer">
              <sle:slicer xmlns:sle="http://schemas.microsoft.com/office/drawing/2010/slicer" name="Product Awareness"/>
            </a:graphicData>
          </a:graphic>
        </xdr:graphicFrame>
      </mc:Choice>
      <mc:Fallback xmlns="">
        <xdr:sp macro="" textlink="">
          <xdr:nvSpPr>
            <xdr:cNvPr id="0" name=""/>
            <xdr:cNvSpPr>
              <a:spLocks noTextEdit="1"/>
            </xdr:cNvSpPr>
          </xdr:nvSpPr>
          <xdr:spPr>
            <a:xfrm>
              <a:off x="14812288" y="380770"/>
              <a:ext cx="1846064" cy="9650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422228</xdr:colOff>
      <xdr:row>1</xdr:row>
      <xdr:rowOff>105580</xdr:rowOff>
    </xdr:from>
    <xdr:to>
      <xdr:col>23</xdr:col>
      <xdr:colOff>431326</xdr:colOff>
      <xdr:row>10</xdr:row>
      <xdr:rowOff>161120</xdr:rowOff>
    </xdr:to>
    <mc:AlternateContent xmlns:mc="http://schemas.openxmlformats.org/markup-compatibility/2006" xmlns:a14="http://schemas.microsoft.com/office/drawing/2010/main">
      <mc:Choice Requires="a14">
        <xdr:graphicFrame macro="">
          <xdr:nvGraphicFramePr>
            <xdr:cNvPr id="11" name="Satisfaction Score">
              <a:extLst>
                <a:ext uri="{FF2B5EF4-FFF2-40B4-BE49-F238E27FC236}">
                  <a16:creationId xmlns:a16="http://schemas.microsoft.com/office/drawing/2014/main" id="{5CCD5162-B65F-DE1F-0187-3448CD0E80D2}"/>
                </a:ext>
              </a:extLst>
            </xdr:cNvPr>
            <xdr:cNvGraphicFramePr/>
          </xdr:nvGraphicFramePr>
          <xdr:xfrm>
            <a:off x="0" y="0"/>
            <a:ext cx="0" cy="0"/>
          </xdr:xfrm>
          <a:graphic>
            <a:graphicData uri="http://schemas.microsoft.com/office/drawing/2010/slicer">
              <sle:slicer xmlns:sle="http://schemas.microsoft.com/office/drawing/2010/slicer" name="Satisfaction Score"/>
            </a:graphicData>
          </a:graphic>
        </xdr:graphicFrame>
      </mc:Choice>
      <mc:Fallback xmlns="">
        <xdr:sp macro="" textlink="">
          <xdr:nvSpPr>
            <xdr:cNvPr id="0" name=""/>
            <xdr:cNvSpPr>
              <a:spLocks noTextEdit="1"/>
            </xdr:cNvSpPr>
          </xdr:nvSpPr>
          <xdr:spPr>
            <a:xfrm>
              <a:off x="12668657" y="287009"/>
              <a:ext cx="1846062" cy="16883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187656</xdr:colOff>
      <xdr:row>1</xdr:row>
      <xdr:rowOff>117427</xdr:rowOff>
    </xdr:from>
    <xdr:to>
      <xdr:col>20</xdr:col>
      <xdr:colOff>196755</xdr:colOff>
      <xdr:row>15</xdr:row>
      <xdr:rowOff>120508</xdr:rowOff>
    </xdr:to>
    <mc:AlternateContent xmlns:mc="http://schemas.openxmlformats.org/markup-compatibility/2006" xmlns:a14="http://schemas.microsoft.com/office/drawing/2010/main">
      <mc:Choice Requires="a14">
        <xdr:graphicFrame macro="">
          <xdr:nvGraphicFramePr>
            <xdr:cNvPr id="12" name="Likelihood to Recommend">
              <a:extLst>
                <a:ext uri="{FF2B5EF4-FFF2-40B4-BE49-F238E27FC236}">
                  <a16:creationId xmlns:a16="http://schemas.microsoft.com/office/drawing/2014/main" id="{B02C5C1F-678F-BFDC-11B0-E96348565AD0}"/>
                </a:ext>
              </a:extLst>
            </xdr:cNvPr>
            <xdr:cNvGraphicFramePr/>
          </xdr:nvGraphicFramePr>
          <xdr:xfrm>
            <a:off x="0" y="0"/>
            <a:ext cx="0" cy="0"/>
          </xdr:xfrm>
          <a:graphic>
            <a:graphicData uri="http://schemas.microsoft.com/office/drawing/2010/slicer">
              <sle:slicer xmlns:sle="http://schemas.microsoft.com/office/drawing/2010/slicer" name="Likelihood to Recommend"/>
            </a:graphicData>
          </a:graphic>
        </xdr:graphicFrame>
      </mc:Choice>
      <mc:Fallback xmlns="">
        <xdr:sp macro="" textlink="">
          <xdr:nvSpPr>
            <xdr:cNvPr id="0" name=""/>
            <xdr:cNvSpPr>
              <a:spLocks noTextEdit="1"/>
            </xdr:cNvSpPr>
          </xdr:nvSpPr>
          <xdr:spPr>
            <a:xfrm>
              <a:off x="10597120" y="298856"/>
              <a:ext cx="1846064" cy="2543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450849</xdr:colOff>
      <xdr:row>8</xdr:row>
      <xdr:rowOff>177800</xdr:rowOff>
    </xdr:from>
    <xdr:to>
      <xdr:col>2</xdr:col>
      <xdr:colOff>690563</xdr:colOff>
      <xdr:row>34</xdr:row>
      <xdr:rowOff>108415</xdr:rowOff>
    </xdr:to>
    <xdr:graphicFrame macro="">
      <xdr:nvGraphicFramePr>
        <xdr:cNvPr id="2" name="Chart 1">
          <a:extLst>
            <a:ext uri="{FF2B5EF4-FFF2-40B4-BE49-F238E27FC236}">
              <a16:creationId xmlns:a16="http://schemas.microsoft.com/office/drawing/2014/main" id="{4E241653-1A04-4A6F-91AE-2B28B136B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522466</xdr:colOff>
      <xdr:row>37</xdr:row>
      <xdr:rowOff>81690</xdr:rowOff>
    </xdr:from>
    <xdr:to>
      <xdr:col>4</xdr:col>
      <xdr:colOff>250152</xdr:colOff>
      <xdr:row>71</xdr:row>
      <xdr:rowOff>112059</xdr:rowOff>
    </xdr:to>
    <xdr:graphicFrame macro="">
      <xdr:nvGraphicFramePr>
        <xdr:cNvPr id="3" name="Chart 2">
          <a:extLst>
            <a:ext uri="{FF2B5EF4-FFF2-40B4-BE49-F238E27FC236}">
              <a16:creationId xmlns:a16="http://schemas.microsoft.com/office/drawing/2014/main" id="{123A30EE-E7CD-4A51-A9BD-C1C331144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822593</xdr:colOff>
      <xdr:row>9</xdr:row>
      <xdr:rowOff>16813</xdr:rowOff>
    </xdr:from>
    <xdr:to>
      <xdr:col>11</xdr:col>
      <xdr:colOff>468314</xdr:colOff>
      <xdr:row>35</xdr:row>
      <xdr:rowOff>62169</xdr:rowOff>
    </xdr:to>
    <xdr:graphicFrame macro="">
      <xdr:nvGraphicFramePr>
        <xdr:cNvPr id="4" name="Chart 3">
          <a:extLst>
            <a:ext uri="{FF2B5EF4-FFF2-40B4-BE49-F238E27FC236}">
              <a16:creationId xmlns:a16="http://schemas.microsoft.com/office/drawing/2014/main" id="{D3F92205-D2AA-4D37-B179-918F460DE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187272</xdr:colOff>
      <xdr:row>0</xdr:row>
      <xdr:rowOff>149485</xdr:rowOff>
    </xdr:from>
    <xdr:to>
      <xdr:col>7</xdr:col>
      <xdr:colOff>173532</xdr:colOff>
      <xdr:row>5</xdr:row>
      <xdr:rowOff>66745</xdr:rowOff>
    </xdr:to>
    <mc:AlternateContent xmlns:mc="http://schemas.openxmlformats.org/markup-compatibility/2006" xmlns:a14="http://schemas.microsoft.com/office/drawing/2010/main">
      <mc:Choice Requires="a14">
        <xdr:graphicFrame macro="">
          <xdr:nvGraphicFramePr>
            <xdr:cNvPr id="5" name="Channel">
              <a:extLst>
                <a:ext uri="{FF2B5EF4-FFF2-40B4-BE49-F238E27FC236}">
                  <a16:creationId xmlns:a16="http://schemas.microsoft.com/office/drawing/2014/main" id="{FFD9E8C9-2A9A-CC9F-EC86-2227DF865A04}"/>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1641085" y="149485"/>
              <a:ext cx="1819822" cy="1597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554834</xdr:colOff>
      <xdr:row>3</xdr:row>
      <xdr:rowOff>76146</xdr:rowOff>
    </xdr:from>
    <xdr:to>
      <xdr:col>41</xdr:col>
      <xdr:colOff>62761</xdr:colOff>
      <xdr:row>44</xdr:row>
      <xdr:rowOff>38502</xdr:rowOff>
    </xdr:to>
    <xdr:graphicFrame macro="">
      <xdr:nvGraphicFramePr>
        <xdr:cNvPr id="6" name="Chart 5">
          <a:extLst>
            <a:ext uri="{FF2B5EF4-FFF2-40B4-BE49-F238E27FC236}">
              <a16:creationId xmlns:a16="http://schemas.microsoft.com/office/drawing/2014/main" id="{6D835EC5-C047-41D5-907F-F6814E764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29534</xdr:colOff>
      <xdr:row>53</xdr:row>
      <xdr:rowOff>0</xdr:rowOff>
    </xdr:from>
    <xdr:to>
      <xdr:col>19</xdr:col>
      <xdr:colOff>561162</xdr:colOff>
      <xdr:row>73</xdr:row>
      <xdr:rowOff>162442</xdr:rowOff>
    </xdr:to>
    <xdr:graphicFrame macro="">
      <xdr:nvGraphicFramePr>
        <xdr:cNvPr id="7" name="Chart 6">
          <a:extLst>
            <a:ext uri="{FF2B5EF4-FFF2-40B4-BE49-F238E27FC236}">
              <a16:creationId xmlns:a16="http://schemas.microsoft.com/office/drawing/2014/main" id="{0B901B78-267B-4356-9827-3F269FEA8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xdr:colOff>
      <xdr:row>51</xdr:row>
      <xdr:rowOff>0</xdr:rowOff>
    </xdr:from>
    <xdr:to>
      <xdr:col>38</xdr:col>
      <xdr:colOff>317500</xdr:colOff>
      <xdr:row>74</xdr:row>
      <xdr:rowOff>93382</xdr:rowOff>
    </xdr:to>
    <xdr:graphicFrame macro="">
      <xdr:nvGraphicFramePr>
        <xdr:cNvPr id="8" name="Chart 7">
          <a:extLst>
            <a:ext uri="{FF2B5EF4-FFF2-40B4-BE49-F238E27FC236}">
              <a16:creationId xmlns:a16="http://schemas.microsoft.com/office/drawing/2014/main" id="{30A6B99A-D092-43A5-86A3-061B6C15C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89</xdr:row>
      <xdr:rowOff>0</xdr:rowOff>
    </xdr:from>
    <xdr:to>
      <xdr:col>2</xdr:col>
      <xdr:colOff>224118</xdr:colOff>
      <xdr:row>110</xdr:row>
      <xdr:rowOff>18677</xdr:rowOff>
    </xdr:to>
    <xdr:graphicFrame macro="">
      <xdr:nvGraphicFramePr>
        <xdr:cNvPr id="9" name="Chart 8">
          <a:extLst>
            <a:ext uri="{FF2B5EF4-FFF2-40B4-BE49-F238E27FC236}">
              <a16:creationId xmlns:a16="http://schemas.microsoft.com/office/drawing/2014/main" id="{378FA4A3-A2F8-45EE-A271-D291838F6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0</xdr:colOff>
      <xdr:row>91</xdr:row>
      <xdr:rowOff>0</xdr:rowOff>
    </xdr:from>
    <xdr:to>
      <xdr:col>15</xdr:col>
      <xdr:colOff>112059</xdr:colOff>
      <xdr:row>111</xdr:row>
      <xdr:rowOff>0</xdr:rowOff>
    </xdr:to>
    <xdr:graphicFrame macro="">
      <xdr:nvGraphicFramePr>
        <xdr:cNvPr id="10" name="Chart 9">
          <a:extLst>
            <a:ext uri="{FF2B5EF4-FFF2-40B4-BE49-F238E27FC236}">
              <a16:creationId xmlns:a16="http://schemas.microsoft.com/office/drawing/2014/main" id="{AA9D84F1-1EE6-4D1E-A135-6B3E4E01B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-1</xdr:colOff>
      <xdr:row>91</xdr:row>
      <xdr:rowOff>-1</xdr:rowOff>
    </xdr:from>
    <xdr:to>
      <xdr:col>39</xdr:col>
      <xdr:colOff>93383</xdr:colOff>
      <xdr:row>126</xdr:row>
      <xdr:rowOff>0</xdr:rowOff>
    </xdr:to>
    <xdr:graphicFrame macro="">
      <xdr:nvGraphicFramePr>
        <xdr:cNvPr id="11" name="Chart 10">
          <a:extLst>
            <a:ext uri="{FF2B5EF4-FFF2-40B4-BE49-F238E27FC236}">
              <a16:creationId xmlns:a16="http://schemas.microsoft.com/office/drawing/2014/main" id="{DD970C7B-2DA6-41A4-B2A9-85A1F5490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42</xdr:col>
      <xdr:colOff>-1</xdr:colOff>
      <xdr:row>92</xdr:row>
      <xdr:rowOff>0</xdr:rowOff>
    </xdr:from>
    <xdr:to>
      <xdr:col>55</xdr:col>
      <xdr:colOff>298822</xdr:colOff>
      <xdr:row>125</xdr:row>
      <xdr:rowOff>168089</xdr:rowOff>
    </xdr:to>
    <xdr:graphicFrame macro="">
      <xdr:nvGraphicFramePr>
        <xdr:cNvPr id="12" name="Chart 11">
          <a:extLst>
            <a:ext uri="{FF2B5EF4-FFF2-40B4-BE49-F238E27FC236}">
              <a16:creationId xmlns:a16="http://schemas.microsoft.com/office/drawing/2014/main" id="{E7E93442-2D40-4779-A619-81FD49AE7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 kumari Gupta" refreshedDate="45926.437218287036" createdVersion="8" refreshedVersion="8" minRefreshableVersion="3" recordCount="200" xr:uid="{E423EFC0-B8F6-469B-AF52-9952D7A7B9D4}">
  <cacheSource type="worksheet">
    <worksheetSource name="SalesData"/>
  </cacheSource>
  <cacheFields count="13">
    <cacheField name="Date" numFmtId="14">
      <sharedItems containsSemiMixedTypes="0" containsNonDate="0" containsDate="1" containsString="0" minDate="2024-01-01T00:00:00" maxDate="2024-07-19T00:00:00" count="2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sharedItems>
    </cacheField>
    <cacheField name="Region" numFmtId="0">
      <sharedItems count="4">
        <s v="East"/>
        <s v="West"/>
        <s v="North"/>
        <s v="South"/>
      </sharedItems>
    </cacheField>
    <cacheField name="Sales Rep" numFmtId="0">
      <sharedItems count="5">
        <s v="Rep A"/>
        <s v="Rep D"/>
        <s v="Rep E"/>
        <s v="Rep C"/>
        <s v="Rep B"/>
      </sharedItems>
    </cacheField>
    <cacheField name="Product Category" numFmtId="0">
      <sharedItems count="4">
        <s v="Grocery"/>
        <s v="Electronics"/>
        <s v="Clothing"/>
        <s v="Furniture"/>
      </sharedItems>
    </cacheField>
    <cacheField name="Units Sold" numFmtId="1">
      <sharedItems containsSemiMixedTypes="0" containsString="0" containsNumber="1" containsInteger="1" minValue="1" maxValue="49"/>
    </cacheField>
    <cacheField name="Sales Revenue" numFmtId="164">
      <sharedItems containsSemiMixedTypes="0" containsString="0" containsNumber="1" containsInteger="1" minValue="109" maxValue="4992"/>
    </cacheField>
    <cacheField name="Sales per unit" numFmtId="164">
      <sharedItems containsSemiMixedTypes="0" containsString="0" containsNumber="1" minValue="4.1923076923076925" maxValue="4877"/>
    </cacheField>
    <cacheField name="Profit" numFmtId="164">
      <sharedItems containsSemiMixedTypes="0" containsString="0" containsNumber="1" minValue="31.160396562981369" maxValue="1378.607474106281"/>
    </cacheField>
    <cacheField name="Quarter" numFmtId="0">
      <sharedItems count="3">
        <s v="Q1"/>
        <s v="Q2"/>
        <s v="Q3"/>
      </sharedItems>
    </cacheField>
    <cacheField name="Year" numFmtId="0">
      <sharedItems containsSemiMixedTypes="0" containsString="0" containsNumber="1" containsInteger="1" minValue="2024" maxValue="2024" count="1">
        <n v="2024"/>
      </sharedItems>
    </cacheField>
    <cacheField name="Text" numFmtId="0">
      <sharedItems/>
    </cacheField>
    <cacheField name="Profitmargin" numFmtId="10">
      <sharedItems containsSemiMixedTypes="0" containsString="0" containsNumber="1" minValue="0.10092640460092056" maxValue="0.29937485036918948"/>
    </cacheField>
    <cacheField name="Sales per Unit2" numFmtId="1">
      <sharedItems containsSemiMixedTypes="0" containsString="0" containsNumber="1" minValue="4.1923076923076925" maxValue="4877"/>
    </cacheField>
  </cacheFields>
  <extLst>
    <ext xmlns:x14="http://schemas.microsoft.com/office/spreadsheetml/2009/9/main" uri="{725AE2AE-9491-48be-B2B4-4EB974FC3084}">
      <x14:pivotCacheDefinition pivotCacheId="9157138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 kumari Gupta" refreshedDate="45926.756236458335" createdVersion="8" refreshedVersion="8" minRefreshableVersion="3" recordCount="150" xr:uid="{86D1BF49-1B0B-44B5-AE66-9D98349F7DD1}">
  <cacheSource type="worksheet">
    <worksheetSource name="Table2"/>
  </cacheSource>
  <cacheFields count="7">
    <cacheField name="Respondent ID" numFmtId="0">
      <sharedItems containsSemiMixedTypes="0" containsString="0" containsNumber="1" containsInteger="1" minValue="1" maxValue="150"/>
    </cacheField>
    <cacheField name="Age" numFmtId="1">
      <sharedItems containsSemiMixedTypes="0" containsString="0" containsNumber="1" containsInteger="1" minValue="18" maxValue="60"/>
    </cacheField>
    <cacheField name="Gender" numFmtId="0">
      <sharedItems count="3">
        <s v="Female"/>
        <s v="Male"/>
        <s v="Other"/>
      </sharedItems>
    </cacheField>
    <cacheField name="Occupation" numFmtId="0">
      <sharedItems count="4">
        <s v="Student"/>
        <s v="Entrepreneur"/>
        <s v="Retired"/>
        <s v="Professional"/>
      </sharedItems>
    </cacheField>
    <cacheField name="Product Awareness" numFmtId="0">
      <sharedItems count="2">
        <s v="No"/>
        <s v="Yes"/>
      </sharedItems>
    </cacheField>
    <cacheField name="Satisfaction Score" numFmtId="1">
      <sharedItems containsSemiMixedTypes="0" containsString="0" containsNumber="1" containsInteger="1" minValue="1" maxValue="5" count="5">
        <n v="1"/>
        <n v="2"/>
        <n v="4"/>
        <n v="3"/>
        <n v="5"/>
      </sharedItems>
    </cacheField>
    <cacheField name="Likelihood to Recommend" numFmtId="1">
      <sharedItems containsSemiMixedTypes="0" containsString="0" containsNumber="1" containsInteger="1" minValue="0" maxValue="10" count="11">
        <n v="6"/>
        <n v="2"/>
        <n v="5"/>
        <n v="4"/>
        <n v="10"/>
        <n v="0"/>
        <n v="9"/>
        <n v="3"/>
        <n v="1"/>
        <n v="7"/>
        <n v="8"/>
      </sharedItems>
    </cacheField>
  </cacheFields>
  <extLst>
    <ext xmlns:x14="http://schemas.microsoft.com/office/spreadsheetml/2009/9/main" uri="{725AE2AE-9491-48be-B2B4-4EB974FC3084}">
      <x14:pivotCacheDefinition pivotCacheId="54088443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 kumari Gupta" refreshedDate="45926.969787615744" createdVersion="8" refreshedVersion="8" minRefreshableVersion="3" recordCount="100" xr:uid="{45180CB2-22D2-49AB-ACB9-617EC8784C43}">
  <cacheSource type="worksheet">
    <worksheetSource name="Marketing_data"/>
  </cacheSource>
  <cacheFields count="15">
    <cacheField name="Campaign ID" numFmtId="0">
      <sharedItems/>
    </cacheField>
    <cacheField name="Channel" numFmtId="0">
      <sharedItems count="4">
        <s v="Search Ads"/>
        <s v="TV"/>
        <s v="Social Media"/>
        <s v="Email"/>
      </sharedItems>
    </cacheField>
    <cacheField name="Spend" numFmtId="164">
      <sharedItems containsSemiMixedTypes="0" containsString="0" containsNumber="1" containsInteger="1" minValue="8083" maxValue="47891"/>
    </cacheField>
    <cacheField name="Impressions" numFmtId="1">
      <sharedItems containsSemiMixedTypes="0" containsString="0" containsNumber="1" containsInteger="1" minValue="10163" maxValue="197604"/>
    </cacheField>
    <cacheField name="Clicks" numFmtId="1">
      <sharedItems containsSemiMixedTypes="0" containsString="0" containsNumber="1" containsInteger="1" minValue="138" maxValue="9966"/>
    </cacheField>
    <cacheField name="Conversions" numFmtId="1">
      <sharedItems containsSemiMixedTypes="0" containsString="0" containsNumber="1" containsInteger="1" minValue="28" maxValue="1945"/>
    </cacheField>
    <cacheField name="Sales Generated" numFmtId="164">
      <sharedItems containsSemiMixedTypes="0" containsString="0" containsNumber="1" containsInteger="1" minValue="2651" maxValue="79645"/>
    </cacheField>
    <cacheField name="CTR (Click-Through Rate)" numFmtId="9">
      <sharedItems containsSemiMixedTypes="0" containsString="0" containsNumber="1" minValue="1.0417520161998292E-3" maxValue="0.40175145134310736"/>
    </cacheField>
    <cacheField name="Conversion Rate (CR)" numFmtId="9">
      <sharedItems containsSemiMixedTypes="0" containsString="0" containsNumber="1" minValue="3.5496957403651115E-3" maxValue="12.956521739130435"/>
    </cacheField>
    <cacheField name="CPC (Cost per Click)" numFmtId="1">
      <sharedItems containsSemiMixedTypes="0" containsString="0" containsNumber="1" minValue="0.85879728006799827" maxValue="260.24157303370788"/>
    </cacheField>
    <cacheField name="CPA (Cost per Acquisition/Conversion)" numFmtId="1">
      <sharedItems containsSemiMixedTypes="0" containsString="0" containsNumber="1" minValue="4.416939890710383" maxValue="863.17857142857144"/>
    </cacheField>
    <cacheField name="ROI (Return on Investment)" numFmtId="9">
      <sharedItems containsSemiMixedTypes="0" containsString="0" containsNumber="1" minValue="-0.92831647828673414" maxValue="7.4577508350859834"/>
    </cacheField>
    <cacheField name="ROAS (Return on Ad Spend)" numFmtId="1">
      <sharedItems containsSemiMixedTypes="0" containsString="0" containsNumber="1" minValue="7.1683521713265919E-2" maxValue="8.4577508350859834"/>
    </cacheField>
    <cacheField name="spent- Sales generated " numFmtId="1">
      <sharedItems containsSemiMixedTypes="0" containsString="0" containsNumber="1" containsInteger="1" minValue="-63239" maxValue="39003"/>
    </cacheField>
    <cacheField name="Profit" numFmtId="0" formula="'Sales Generated' -Spend" databaseField="0"/>
  </cacheFields>
  <extLst>
    <ext xmlns:x14="http://schemas.microsoft.com/office/spreadsheetml/2009/9/main" uri="{725AE2AE-9491-48be-B2B4-4EB974FC3084}">
      <x14:pivotCacheDefinition pivotCacheId="13912848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n v="1"/>
    <n v="2879"/>
    <n v="2879"/>
    <n v="452.05779813391712"/>
    <x v="0"/>
    <x v="0"/>
    <s v="January 2024"/>
    <n v="0.15701903373876941"/>
    <n v="2879"/>
  </r>
  <r>
    <x v="1"/>
    <x v="1"/>
    <x v="1"/>
    <x v="1"/>
    <n v="33"/>
    <n v="4236"/>
    <n v="128.36363636363637"/>
    <n v="570.48210993371629"/>
    <x v="0"/>
    <x v="0"/>
    <s v="January 2024"/>
    <n v="0.13467471905895095"/>
    <n v="128.36363636363637"/>
  </r>
  <r>
    <x v="2"/>
    <x v="2"/>
    <x v="2"/>
    <x v="1"/>
    <n v="40"/>
    <n v="4935"/>
    <n v="123.375"/>
    <n v="1378.607474106281"/>
    <x v="0"/>
    <x v="0"/>
    <s v="January 2024"/>
    <n v="0.27935308492528488"/>
    <n v="123.375"/>
  </r>
  <r>
    <x v="3"/>
    <x v="0"/>
    <x v="1"/>
    <x v="2"/>
    <n v="10"/>
    <n v="3875"/>
    <n v="387.5"/>
    <n v="449.68115288777273"/>
    <x v="0"/>
    <x v="0"/>
    <s v="January 2024"/>
    <n v="0.11604674913232844"/>
    <n v="387.5"/>
  </r>
  <r>
    <x v="4"/>
    <x v="0"/>
    <x v="2"/>
    <x v="3"/>
    <n v="43"/>
    <n v="2608"/>
    <n v="60.651162790697676"/>
    <n v="534.38514079984475"/>
    <x v="0"/>
    <x v="0"/>
    <s v="January 2024"/>
    <n v="0.20490227791405091"/>
    <n v="60.651162790697676"/>
  </r>
  <r>
    <x v="5"/>
    <x v="1"/>
    <x v="2"/>
    <x v="0"/>
    <n v="44"/>
    <n v="2879"/>
    <n v="65.431818181818187"/>
    <n v="524.20649298064711"/>
    <x v="0"/>
    <x v="0"/>
    <s v="January 2024"/>
    <n v="0.18207936539793232"/>
    <n v="65.431818181818187"/>
  </r>
  <r>
    <x v="6"/>
    <x v="2"/>
    <x v="3"/>
    <x v="2"/>
    <n v="29"/>
    <n v="1024"/>
    <n v="35.310344827586206"/>
    <n v="303.59114074288249"/>
    <x v="0"/>
    <x v="0"/>
    <s v="January 2024"/>
    <n v="0.29647572338172118"/>
    <n v="35.310344827586206"/>
  </r>
  <r>
    <x v="7"/>
    <x v="2"/>
    <x v="2"/>
    <x v="1"/>
    <n v="13"/>
    <n v="3056"/>
    <n v="235.07692307692307"/>
    <n v="374.07817700511362"/>
    <x v="0"/>
    <x v="0"/>
    <s v="January 2024"/>
    <n v="0.12240778043361047"/>
    <n v="235.07692307692307"/>
  </r>
  <r>
    <x v="8"/>
    <x v="1"/>
    <x v="1"/>
    <x v="3"/>
    <n v="12"/>
    <n v="1681"/>
    <n v="140.08333333333334"/>
    <n v="301.85905239917832"/>
    <x v="0"/>
    <x v="0"/>
    <s v="January 2024"/>
    <n v="0.17957111980914831"/>
    <n v="140.08333333333334"/>
  </r>
  <r>
    <x v="9"/>
    <x v="3"/>
    <x v="2"/>
    <x v="2"/>
    <n v="31"/>
    <n v="3424"/>
    <n v="110.45161290322581"/>
    <n v="1006.293352706973"/>
    <x v="0"/>
    <x v="0"/>
    <s v="January 2024"/>
    <n v="0.29389408665507388"/>
    <n v="110.45161290322581"/>
  </r>
  <r>
    <x v="10"/>
    <x v="0"/>
    <x v="3"/>
    <x v="3"/>
    <n v="46"/>
    <n v="4585"/>
    <n v="99.673913043478265"/>
    <n v="1252.17003444478"/>
    <x v="0"/>
    <x v="0"/>
    <s v="January 2024"/>
    <n v="0.27310142517879604"/>
    <n v="99.673913043478265"/>
  </r>
  <r>
    <x v="11"/>
    <x v="0"/>
    <x v="3"/>
    <x v="2"/>
    <n v="2"/>
    <n v="355"/>
    <n v="177.5"/>
    <n v="93.51211703739888"/>
    <x v="0"/>
    <x v="0"/>
    <s v="January 2024"/>
    <n v="0.26341441418985601"/>
    <n v="177.5"/>
  </r>
  <r>
    <x v="12"/>
    <x v="0"/>
    <x v="1"/>
    <x v="3"/>
    <n v="35"/>
    <n v="4904"/>
    <n v="140.11428571428573"/>
    <n v="743.35109276567698"/>
    <x v="0"/>
    <x v="0"/>
    <s v="January 2024"/>
    <n v="0.15158056540898796"/>
    <n v="140.11428571428573"/>
  </r>
  <r>
    <x v="13"/>
    <x v="0"/>
    <x v="4"/>
    <x v="1"/>
    <n v="23"/>
    <n v="1938"/>
    <n v="84.260869565217391"/>
    <n v="260.03602887238952"/>
    <x v="0"/>
    <x v="0"/>
    <s v="January 2024"/>
    <n v="0.13417751747801318"/>
    <n v="84.260869565217391"/>
  </r>
  <r>
    <x v="14"/>
    <x v="1"/>
    <x v="4"/>
    <x v="0"/>
    <n v="17"/>
    <n v="2044"/>
    <n v="120.23529411764706"/>
    <n v="477.74134830510741"/>
    <x v="0"/>
    <x v="0"/>
    <s v="January 2024"/>
    <n v="0.23372864398488621"/>
    <n v="120.23529411764706"/>
  </r>
  <r>
    <x v="15"/>
    <x v="2"/>
    <x v="2"/>
    <x v="1"/>
    <n v="26"/>
    <n v="109"/>
    <n v="4.1923076923076925"/>
    <n v="31.160396562981369"/>
    <x v="0"/>
    <x v="0"/>
    <s v="January 2024"/>
    <n v="0.28587519782551712"/>
    <n v="4.1923076923076925"/>
  </r>
  <r>
    <x v="16"/>
    <x v="1"/>
    <x v="0"/>
    <x v="0"/>
    <n v="8"/>
    <n v="2971"/>
    <n v="371.375"/>
    <n v="627.9285110288771"/>
    <x v="0"/>
    <x v="0"/>
    <s v="January 2024"/>
    <n v="0.21135257860278597"/>
    <n v="371.375"/>
  </r>
  <r>
    <x v="17"/>
    <x v="1"/>
    <x v="2"/>
    <x v="3"/>
    <n v="29"/>
    <n v="897"/>
    <n v="30.931034482758619"/>
    <n v="192.2473164909"/>
    <x v="0"/>
    <x v="0"/>
    <s v="January 2024"/>
    <n v="0.21432253789397993"/>
    <n v="30.931034482758619"/>
  </r>
  <r>
    <x v="18"/>
    <x v="1"/>
    <x v="1"/>
    <x v="2"/>
    <n v="26"/>
    <n v="1115"/>
    <n v="42.884615384615387"/>
    <n v="173.93533788624339"/>
    <x v="0"/>
    <x v="0"/>
    <s v="January 2024"/>
    <n v="0.15599581873205684"/>
    <n v="42.884615384615387"/>
  </r>
  <r>
    <x v="19"/>
    <x v="0"/>
    <x v="1"/>
    <x v="1"/>
    <n v="10"/>
    <n v="1924"/>
    <n v="192.4"/>
    <n v="488.50088069225728"/>
    <x v="0"/>
    <x v="0"/>
    <s v="January 2024"/>
    <n v="0.25389858663838738"/>
    <n v="192.4"/>
  </r>
  <r>
    <x v="20"/>
    <x v="3"/>
    <x v="1"/>
    <x v="0"/>
    <n v="26"/>
    <n v="4569"/>
    <n v="175.73076923076923"/>
    <n v="627.82057743186488"/>
    <x v="0"/>
    <x v="0"/>
    <s v="January 2024"/>
    <n v="0.13740874971150469"/>
    <n v="175.73076923076923"/>
  </r>
  <r>
    <x v="21"/>
    <x v="2"/>
    <x v="1"/>
    <x v="1"/>
    <n v="34"/>
    <n v="3236"/>
    <n v="95.17647058823529"/>
    <n v="533.08520180082644"/>
    <x v="0"/>
    <x v="0"/>
    <s v="January 2024"/>
    <n v="0.16473584728084872"/>
    <n v="95.17647058823529"/>
  </r>
  <r>
    <x v="22"/>
    <x v="3"/>
    <x v="1"/>
    <x v="0"/>
    <n v="41"/>
    <n v="2293"/>
    <n v="55.926829268292686"/>
    <n v="424.40515074948883"/>
    <x v="0"/>
    <x v="0"/>
    <s v="January 2024"/>
    <n v="0.18508728772328339"/>
    <n v="55.926829268292686"/>
  </r>
  <r>
    <x v="23"/>
    <x v="1"/>
    <x v="3"/>
    <x v="1"/>
    <n v="7"/>
    <n v="323"/>
    <n v="46.142857142857146"/>
    <n v="65.091630463015804"/>
    <x v="0"/>
    <x v="0"/>
    <s v="January 2024"/>
    <n v="0.20152207573689104"/>
    <n v="46.142857142857146"/>
  </r>
  <r>
    <x v="24"/>
    <x v="1"/>
    <x v="4"/>
    <x v="0"/>
    <n v="4"/>
    <n v="4258"/>
    <n v="1064.5"/>
    <n v="632.2361281246823"/>
    <x v="0"/>
    <x v="0"/>
    <s v="January 2024"/>
    <n v="0.14848194648301605"/>
    <n v="1064.5"/>
  </r>
  <r>
    <x v="25"/>
    <x v="3"/>
    <x v="1"/>
    <x v="0"/>
    <n v="45"/>
    <n v="4025"/>
    <n v="89.444444444444443"/>
    <n v="494.94364391505889"/>
    <x v="0"/>
    <x v="0"/>
    <s v="January 2024"/>
    <n v="0.12296736494784072"/>
    <n v="89.444444444444443"/>
  </r>
  <r>
    <x v="26"/>
    <x v="3"/>
    <x v="0"/>
    <x v="3"/>
    <n v="11"/>
    <n v="4884"/>
    <n v="444"/>
    <n v="1084.8536574569871"/>
    <x v="0"/>
    <x v="0"/>
    <s v="January 2024"/>
    <n v="0.22212400848832659"/>
    <n v="444"/>
  </r>
  <r>
    <x v="27"/>
    <x v="3"/>
    <x v="0"/>
    <x v="0"/>
    <n v="29"/>
    <n v="4100"/>
    <n v="141.37931034482759"/>
    <n v="646.67705365700965"/>
    <x v="0"/>
    <x v="0"/>
    <s v="January 2024"/>
    <n v="0.15772611064805114"/>
    <n v="141.37931034482759"/>
  </r>
  <r>
    <x v="28"/>
    <x v="1"/>
    <x v="0"/>
    <x v="3"/>
    <n v="36"/>
    <n v="1733"/>
    <n v="48.138888888888886"/>
    <n v="374.75716754507738"/>
    <x v="0"/>
    <x v="0"/>
    <s v="January 2024"/>
    <n v="0.21624764428452242"/>
    <n v="48.138888888888886"/>
  </r>
  <r>
    <x v="29"/>
    <x v="1"/>
    <x v="0"/>
    <x v="0"/>
    <n v="25"/>
    <n v="2252"/>
    <n v="90.08"/>
    <n v="294.72496695950082"/>
    <x v="0"/>
    <x v="0"/>
    <s v="January 2024"/>
    <n v="0.1308725430548405"/>
    <n v="90.08"/>
  </r>
  <r>
    <x v="30"/>
    <x v="2"/>
    <x v="3"/>
    <x v="2"/>
    <n v="21"/>
    <n v="610"/>
    <n v="29.047619047619047"/>
    <n v="119.69909242628771"/>
    <x v="0"/>
    <x v="0"/>
    <s v="January 2024"/>
    <n v="0.19622802037096346"/>
    <n v="29.047619047619047"/>
  </r>
  <r>
    <x v="31"/>
    <x v="2"/>
    <x v="0"/>
    <x v="2"/>
    <n v="36"/>
    <n v="484"/>
    <n v="13.444444444444445"/>
    <n v="99.954657070993505"/>
    <x v="0"/>
    <x v="0"/>
    <s v="February 2024"/>
    <n v="0.20651788651031716"/>
    <n v="13.444444444444445"/>
  </r>
  <r>
    <x v="32"/>
    <x v="1"/>
    <x v="1"/>
    <x v="2"/>
    <n v="10"/>
    <n v="504"/>
    <n v="50.4"/>
    <n v="55.623812511700628"/>
    <x v="0"/>
    <x v="0"/>
    <s v="February 2024"/>
    <n v="0.11036470736448538"/>
    <n v="50.4"/>
  </r>
  <r>
    <x v="33"/>
    <x v="3"/>
    <x v="2"/>
    <x v="0"/>
    <n v="37"/>
    <n v="4713"/>
    <n v="127.37837837837837"/>
    <n v="788.58319262558962"/>
    <x v="0"/>
    <x v="0"/>
    <s v="February 2024"/>
    <n v="0.16732085563878413"/>
    <n v="127.37837837837837"/>
  </r>
  <r>
    <x v="34"/>
    <x v="3"/>
    <x v="0"/>
    <x v="3"/>
    <n v="9"/>
    <n v="4671"/>
    <n v="519"/>
    <n v="592.67019119638974"/>
    <x v="0"/>
    <x v="0"/>
    <s v="February 2024"/>
    <n v="0.12688293538779485"/>
    <n v="519"/>
  </r>
  <r>
    <x v="35"/>
    <x v="2"/>
    <x v="3"/>
    <x v="3"/>
    <n v="24"/>
    <n v="2100"/>
    <n v="87.5"/>
    <n v="236.61748759856249"/>
    <x v="0"/>
    <x v="0"/>
    <s v="February 2024"/>
    <n v="0.11267499409455357"/>
    <n v="87.5"/>
  </r>
  <r>
    <x v="36"/>
    <x v="1"/>
    <x v="3"/>
    <x v="0"/>
    <n v="35"/>
    <n v="2856"/>
    <n v="81.599999999999994"/>
    <n v="851.06528474113668"/>
    <x v="0"/>
    <x v="0"/>
    <s v="February 2024"/>
    <n v="0.29799204647798905"/>
    <n v="81.599999999999994"/>
  </r>
  <r>
    <x v="37"/>
    <x v="2"/>
    <x v="0"/>
    <x v="2"/>
    <n v="49"/>
    <n v="1768"/>
    <n v="36.081632653061227"/>
    <n v="290.78431958306197"/>
    <x v="0"/>
    <x v="0"/>
    <s v="February 2024"/>
    <n v="0.16447076899494456"/>
    <n v="36.081632653061227"/>
  </r>
  <r>
    <x v="38"/>
    <x v="2"/>
    <x v="2"/>
    <x v="2"/>
    <n v="35"/>
    <n v="1560"/>
    <n v="44.571428571428569"/>
    <n v="408.68082710664601"/>
    <x v="0"/>
    <x v="0"/>
    <s v="February 2024"/>
    <n v="0.26197488917092693"/>
    <n v="44.571428571428569"/>
  </r>
  <r>
    <x v="39"/>
    <x v="0"/>
    <x v="0"/>
    <x v="3"/>
    <n v="48"/>
    <n v="3736"/>
    <n v="77.833333333333329"/>
    <n v="563.86749723948435"/>
    <x v="0"/>
    <x v="0"/>
    <s v="February 2024"/>
    <n v="0.15092813095275276"/>
    <n v="77.833333333333329"/>
  </r>
  <r>
    <x v="40"/>
    <x v="0"/>
    <x v="3"/>
    <x v="2"/>
    <n v="36"/>
    <n v="2824"/>
    <n v="78.444444444444443"/>
    <n v="667.31273751207527"/>
    <x v="0"/>
    <x v="0"/>
    <s v="February 2024"/>
    <n v="0.23630054444478585"/>
    <n v="78.444444444444443"/>
  </r>
  <r>
    <x v="41"/>
    <x v="0"/>
    <x v="4"/>
    <x v="1"/>
    <n v="18"/>
    <n v="4909"/>
    <n v="272.72222222222223"/>
    <n v="1237.2917128396939"/>
    <x v="0"/>
    <x v="0"/>
    <s v="February 2024"/>
    <n v="0.25204557197793725"/>
    <n v="272.72222222222223"/>
  </r>
  <r>
    <x v="42"/>
    <x v="3"/>
    <x v="1"/>
    <x v="3"/>
    <n v="49"/>
    <n v="4278"/>
    <n v="87.306122448979593"/>
    <n v="937.42850646407157"/>
    <x v="0"/>
    <x v="0"/>
    <s v="February 2024"/>
    <n v="0.21912774812156885"/>
    <n v="87.306122448979593"/>
  </r>
  <r>
    <x v="43"/>
    <x v="1"/>
    <x v="3"/>
    <x v="2"/>
    <n v="39"/>
    <n v="2148"/>
    <n v="55.07692307692308"/>
    <n v="417.38913060114811"/>
    <x v="0"/>
    <x v="0"/>
    <s v="February 2024"/>
    <n v="0.1943152377100317"/>
    <n v="55.07692307692308"/>
  </r>
  <r>
    <x v="44"/>
    <x v="1"/>
    <x v="0"/>
    <x v="3"/>
    <n v="32"/>
    <n v="4246"/>
    <n v="132.6875"/>
    <n v="774.33530429386053"/>
    <x v="0"/>
    <x v="0"/>
    <s v="February 2024"/>
    <n v="0.18236818282945372"/>
    <n v="132.6875"/>
  </r>
  <r>
    <x v="45"/>
    <x v="1"/>
    <x v="1"/>
    <x v="1"/>
    <n v="24"/>
    <n v="4880"/>
    <n v="203.33333333333334"/>
    <n v="828.49542814596339"/>
    <x v="0"/>
    <x v="0"/>
    <s v="February 2024"/>
    <n v="0.16977365330859906"/>
    <n v="203.33333333333334"/>
  </r>
  <r>
    <x v="46"/>
    <x v="1"/>
    <x v="0"/>
    <x v="3"/>
    <n v="23"/>
    <n v="816"/>
    <n v="35.478260869565219"/>
    <n v="233.29915634124521"/>
    <x v="0"/>
    <x v="0"/>
    <s v="February 2024"/>
    <n v="0.28590582884956522"/>
    <n v="35.478260869565219"/>
  </r>
  <r>
    <x v="47"/>
    <x v="0"/>
    <x v="0"/>
    <x v="3"/>
    <n v="32"/>
    <n v="4644"/>
    <n v="145.125"/>
    <n v="1235.8793059532429"/>
    <x v="0"/>
    <x v="0"/>
    <s v="February 2024"/>
    <n v="0.26612388155754585"/>
    <n v="145.125"/>
  </r>
  <r>
    <x v="48"/>
    <x v="3"/>
    <x v="4"/>
    <x v="3"/>
    <n v="37"/>
    <n v="4683"/>
    <n v="126.56756756756756"/>
    <n v="1372.144204530256"/>
    <x v="0"/>
    <x v="0"/>
    <s v="February 2024"/>
    <n v="0.29300538213330257"/>
    <n v="126.56756756756756"/>
  </r>
  <r>
    <x v="49"/>
    <x v="3"/>
    <x v="1"/>
    <x v="3"/>
    <n v="12"/>
    <n v="1923"/>
    <n v="160.25"/>
    <n v="240.10471215254049"/>
    <x v="0"/>
    <x v="0"/>
    <s v="February 2024"/>
    <n v="0.12485944469710894"/>
    <n v="160.25"/>
  </r>
  <r>
    <x v="50"/>
    <x v="0"/>
    <x v="1"/>
    <x v="1"/>
    <n v="49"/>
    <n v="2181"/>
    <n v="44.510204081632651"/>
    <n v="536.90439268382966"/>
    <x v="0"/>
    <x v="0"/>
    <s v="February 2024"/>
    <n v="0.24617349504072886"/>
    <n v="44.510204081632651"/>
  </r>
  <r>
    <x v="51"/>
    <x v="3"/>
    <x v="4"/>
    <x v="0"/>
    <n v="13"/>
    <n v="3519"/>
    <n v="270.69230769230768"/>
    <n v="1012.304013510646"/>
    <x v="0"/>
    <x v="0"/>
    <s v="February 2024"/>
    <n v="0.28766809136420746"/>
    <n v="270.69230769230768"/>
  </r>
  <r>
    <x v="52"/>
    <x v="0"/>
    <x v="3"/>
    <x v="3"/>
    <n v="23"/>
    <n v="1674"/>
    <n v="72.782608695652172"/>
    <n v="228.076830552263"/>
    <x v="0"/>
    <x v="0"/>
    <s v="February 2024"/>
    <n v="0.13624661323313203"/>
    <n v="72.782608695652172"/>
  </r>
  <r>
    <x v="53"/>
    <x v="1"/>
    <x v="0"/>
    <x v="3"/>
    <n v="25"/>
    <n v="349"/>
    <n v="13.96"/>
    <n v="39.541439462201083"/>
    <x v="0"/>
    <x v="0"/>
    <s v="February 2024"/>
    <n v="0.11329925347335554"/>
    <n v="13.96"/>
  </r>
  <r>
    <x v="54"/>
    <x v="0"/>
    <x v="2"/>
    <x v="2"/>
    <n v="35"/>
    <n v="773"/>
    <n v="22.085714285714285"/>
    <n v="191.87725238024311"/>
    <x v="0"/>
    <x v="0"/>
    <s v="February 2024"/>
    <n v="0.24822412985801179"/>
    <n v="22.085714285714285"/>
  </r>
  <r>
    <x v="55"/>
    <x v="1"/>
    <x v="0"/>
    <x v="3"/>
    <n v="41"/>
    <n v="4633"/>
    <n v="113"/>
    <n v="995.60678667250625"/>
    <x v="0"/>
    <x v="0"/>
    <s v="February 2024"/>
    <n v="0.21489462263598236"/>
    <n v="113"/>
  </r>
  <r>
    <x v="56"/>
    <x v="1"/>
    <x v="0"/>
    <x v="2"/>
    <n v="30"/>
    <n v="2265"/>
    <n v="75.5"/>
    <n v="607.84843587149726"/>
    <x v="0"/>
    <x v="0"/>
    <s v="February 2024"/>
    <n v="0.26836575535165441"/>
    <n v="75.5"/>
  </r>
  <r>
    <x v="57"/>
    <x v="2"/>
    <x v="3"/>
    <x v="0"/>
    <n v="17"/>
    <n v="870"/>
    <n v="51.176470588235297"/>
    <n v="111.32039353297441"/>
    <x v="0"/>
    <x v="0"/>
    <s v="February 2024"/>
    <n v="0.12795447532525794"/>
    <n v="51.176470588235297"/>
  </r>
  <r>
    <x v="58"/>
    <x v="0"/>
    <x v="0"/>
    <x v="1"/>
    <n v="49"/>
    <n v="4062"/>
    <n v="82.897959183673464"/>
    <n v="1052.2751641549751"/>
    <x v="0"/>
    <x v="0"/>
    <s v="February 2024"/>
    <n v="0.25905346237197813"/>
    <n v="82.897959183673464"/>
  </r>
  <r>
    <x v="59"/>
    <x v="2"/>
    <x v="4"/>
    <x v="1"/>
    <n v="20"/>
    <n v="4463"/>
    <n v="223.15"/>
    <n v="626.27254587461675"/>
    <x v="0"/>
    <x v="0"/>
    <s v="February 2024"/>
    <n v="0.1403254640095489"/>
    <n v="223.15"/>
  </r>
  <r>
    <x v="60"/>
    <x v="0"/>
    <x v="4"/>
    <x v="0"/>
    <n v="48"/>
    <n v="2084"/>
    <n v="43.416666666666664"/>
    <n v="276.61179698642559"/>
    <x v="1"/>
    <x v="0"/>
    <s v="March 2024"/>
    <n v="0.13273118857314087"/>
    <n v="43.416666666666664"/>
  </r>
  <r>
    <x v="61"/>
    <x v="0"/>
    <x v="1"/>
    <x v="1"/>
    <n v="25"/>
    <n v="1177"/>
    <n v="47.08"/>
    <n v="156.36816883295569"/>
    <x v="1"/>
    <x v="0"/>
    <s v="March 2024"/>
    <n v="0.13285315958619853"/>
    <n v="47.08"/>
  </r>
  <r>
    <x v="62"/>
    <x v="2"/>
    <x v="2"/>
    <x v="0"/>
    <n v="22"/>
    <n v="335"/>
    <n v="15.227272727272727"/>
    <n v="88.076506255502593"/>
    <x v="1"/>
    <x v="0"/>
    <s v="March 2024"/>
    <n v="0.26291494404627641"/>
    <n v="15.227272727272727"/>
  </r>
  <r>
    <x v="63"/>
    <x v="2"/>
    <x v="0"/>
    <x v="0"/>
    <n v="13"/>
    <n v="488"/>
    <n v="37.53846153846154"/>
    <n v="113.7232487399491"/>
    <x v="1"/>
    <x v="0"/>
    <s v="March 2024"/>
    <n v="0.23303944413923997"/>
    <n v="37.53846153846154"/>
  </r>
  <r>
    <x v="64"/>
    <x v="0"/>
    <x v="0"/>
    <x v="0"/>
    <n v="19"/>
    <n v="3137"/>
    <n v="165.10526315789474"/>
    <n v="641.87124750014539"/>
    <x v="1"/>
    <x v="0"/>
    <s v="March 2024"/>
    <n v="0.20461308495382385"/>
    <n v="165.10526315789474"/>
  </r>
  <r>
    <x v="65"/>
    <x v="3"/>
    <x v="3"/>
    <x v="1"/>
    <n v="49"/>
    <n v="4958"/>
    <n v="101.18367346938776"/>
    <n v="851.61630805686514"/>
    <x v="1"/>
    <x v="0"/>
    <s v="March 2024"/>
    <n v="0.17176609682470051"/>
    <n v="101.18367346938776"/>
  </r>
  <r>
    <x v="66"/>
    <x v="1"/>
    <x v="4"/>
    <x v="2"/>
    <n v="36"/>
    <n v="1948"/>
    <n v="54.111111111111114"/>
    <n v="536.55733070078702"/>
    <x v="1"/>
    <x v="0"/>
    <s v="March 2024"/>
    <n v="0.27544010816262166"/>
    <n v="54.111111111111114"/>
  </r>
  <r>
    <x v="67"/>
    <x v="2"/>
    <x v="2"/>
    <x v="0"/>
    <n v="12"/>
    <n v="4819"/>
    <n v="401.58333333333331"/>
    <n v="860.13859453393604"/>
    <x v="1"/>
    <x v="0"/>
    <s v="March 2024"/>
    <n v="0.17848902148452708"/>
    <n v="401.58333333333331"/>
  </r>
  <r>
    <x v="68"/>
    <x v="1"/>
    <x v="1"/>
    <x v="3"/>
    <n v="41"/>
    <n v="2914"/>
    <n v="71.073170731707322"/>
    <n v="767.31415332403503"/>
    <x v="1"/>
    <x v="0"/>
    <s v="March 2024"/>
    <n v="0.26331988789431537"/>
    <n v="71.073170731707322"/>
  </r>
  <r>
    <x v="69"/>
    <x v="3"/>
    <x v="4"/>
    <x v="1"/>
    <n v="19"/>
    <n v="3474"/>
    <n v="182.84210526315789"/>
    <n v="652.51093447458766"/>
    <x v="1"/>
    <x v="0"/>
    <s v="March 2024"/>
    <n v="0.18782698171404366"/>
    <n v="182.84210526315789"/>
  </r>
  <r>
    <x v="70"/>
    <x v="3"/>
    <x v="1"/>
    <x v="0"/>
    <n v="12"/>
    <n v="3378"/>
    <n v="281.5"/>
    <n v="592.46365651946758"/>
    <x v="1"/>
    <x v="0"/>
    <s v="March 2024"/>
    <n v="0.17538888588498153"/>
    <n v="281.5"/>
  </r>
  <r>
    <x v="71"/>
    <x v="3"/>
    <x v="3"/>
    <x v="0"/>
    <n v="9"/>
    <n v="1352"/>
    <n v="150.22222222222223"/>
    <n v="260.30861404506157"/>
    <x v="1"/>
    <x v="0"/>
    <s v="March 2024"/>
    <n v="0.19253595713392127"/>
    <n v="150.22222222222223"/>
  </r>
  <r>
    <x v="72"/>
    <x v="2"/>
    <x v="3"/>
    <x v="3"/>
    <n v="7"/>
    <n v="4081"/>
    <n v="583"/>
    <n v="654.08462089277282"/>
    <x v="1"/>
    <x v="0"/>
    <s v="March 2024"/>
    <n v="0.16027557483282842"/>
    <n v="583"/>
  </r>
  <r>
    <x v="73"/>
    <x v="3"/>
    <x v="0"/>
    <x v="2"/>
    <n v="28"/>
    <n v="4773"/>
    <n v="170.46428571428572"/>
    <n v="1190.9679143162491"/>
    <x v="1"/>
    <x v="0"/>
    <s v="March 2024"/>
    <n v="0.24952187603525017"/>
    <n v="170.46428571428572"/>
  </r>
  <r>
    <x v="74"/>
    <x v="2"/>
    <x v="2"/>
    <x v="2"/>
    <n v="14"/>
    <n v="2222"/>
    <n v="158.71428571428572"/>
    <n v="445.60894135709782"/>
    <x v="1"/>
    <x v="0"/>
    <s v="March 2024"/>
    <n v="0.20054407801849586"/>
    <n v="158.71428571428572"/>
  </r>
  <r>
    <x v="75"/>
    <x v="3"/>
    <x v="1"/>
    <x v="2"/>
    <n v="31"/>
    <n v="4630"/>
    <n v="149.35483870967741"/>
    <n v="678.02895570595285"/>
    <x v="1"/>
    <x v="0"/>
    <s v="March 2024"/>
    <n v="0.14644253902936347"/>
    <n v="149.35483870967741"/>
  </r>
  <r>
    <x v="76"/>
    <x v="1"/>
    <x v="4"/>
    <x v="0"/>
    <n v="19"/>
    <n v="2250"/>
    <n v="118.42105263157895"/>
    <n v="629.80855797355582"/>
    <x v="1"/>
    <x v="0"/>
    <s v="March 2024"/>
    <n v="0.27991491465491369"/>
    <n v="118.42105263157895"/>
  </r>
  <r>
    <x v="77"/>
    <x v="1"/>
    <x v="3"/>
    <x v="0"/>
    <n v="47"/>
    <n v="4959"/>
    <n v="105.51063829787235"/>
    <n v="876.64331335795111"/>
    <x v="1"/>
    <x v="0"/>
    <s v="March 2024"/>
    <n v="0.17677824427464228"/>
    <n v="105.51063829787235"/>
  </r>
  <r>
    <x v="78"/>
    <x v="0"/>
    <x v="0"/>
    <x v="0"/>
    <n v="16"/>
    <n v="1429"/>
    <n v="89.3125"/>
    <n v="298.24740770637789"/>
    <x v="1"/>
    <x v="0"/>
    <s v="March 2024"/>
    <n v="0.20871057222279768"/>
    <n v="89.3125"/>
  </r>
  <r>
    <x v="79"/>
    <x v="1"/>
    <x v="0"/>
    <x v="1"/>
    <n v="5"/>
    <n v="1458"/>
    <n v="291.60000000000002"/>
    <n v="410.1272675572618"/>
    <x v="1"/>
    <x v="0"/>
    <s v="March 2024"/>
    <n v="0.28129442219290934"/>
    <n v="291.60000000000002"/>
  </r>
  <r>
    <x v="80"/>
    <x v="0"/>
    <x v="1"/>
    <x v="3"/>
    <n v="35"/>
    <n v="2582"/>
    <n v="73.771428571428572"/>
    <n v="580.55650108998543"/>
    <x v="1"/>
    <x v="0"/>
    <s v="March 2024"/>
    <n v="0.2248475991827984"/>
    <n v="73.771428571428572"/>
  </r>
  <r>
    <x v="81"/>
    <x v="1"/>
    <x v="3"/>
    <x v="0"/>
    <n v="12"/>
    <n v="4642"/>
    <n v="386.83333333333331"/>
    <n v="572.72814099364518"/>
    <x v="1"/>
    <x v="0"/>
    <s v="March 2024"/>
    <n v="0.12337960814167281"/>
    <n v="386.83333333333331"/>
  </r>
  <r>
    <x v="82"/>
    <x v="2"/>
    <x v="2"/>
    <x v="3"/>
    <n v="25"/>
    <n v="2117"/>
    <n v="84.68"/>
    <n v="609.62492113794531"/>
    <x v="1"/>
    <x v="0"/>
    <s v="March 2024"/>
    <n v="0.28796642472269501"/>
    <n v="84.68"/>
  </r>
  <r>
    <x v="83"/>
    <x v="1"/>
    <x v="3"/>
    <x v="3"/>
    <n v="21"/>
    <n v="1431"/>
    <n v="68.142857142857139"/>
    <n v="322.7500447890398"/>
    <x v="1"/>
    <x v="0"/>
    <s v="March 2024"/>
    <n v="0.22554161061428357"/>
    <n v="68.142857142857139"/>
  </r>
  <r>
    <x v="84"/>
    <x v="0"/>
    <x v="1"/>
    <x v="2"/>
    <n v="36"/>
    <n v="4444"/>
    <n v="123.44444444444444"/>
    <n v="742.06411030721813"/>
    <x v="1"/>
    <x v="0"/>
    <s v="March 2024"/>
    <n v="0.16698112293141723"/>
    <n v="123.44444444444444"/>
  </r>
  <r>
    <x v="85"/>
    <x v="0"/>
    <x v="1"/>
    <x v="1"/>
    <n v="23"/>
    <n v="4361"/>
    <n v="189.60869565217391"/>
    <n v="557.5731017770064"/>
    <x v="1"/>
    <x v="0"/>
    <s v="March 2024"/>
    <n v="0.12785441453267746"/>
    <n v="189.60869565217391"/>
  </r>
  <r>
    <x v="86"/>
    <x v="3"/>
    <x v="3"/>
    <x v="0"/>
    <n v="16"/>
    <n v="1458"/>
    <n v="91.125"/>
    <n v="377.33774519121829"/>
    <x v="1"/>
    <x v="0"/>
    <s v="March 2024"/>
    <n v="0.25880503785405917"/>
    <n v="91.125"/>
  </r>
  <r>
    <x v="87"/>
    <x v="2"/>
    <x v="1"/>
    <x v="2"/>
    <n v="39"/>
    <n v="4737"/>
    <n v="121.46153846153847"/>
    <n v="1061.1569289666741"/>
    <x v="1"/>
    <x v="0"/>
    <s v="March 2024"/>
    <n v="0.22401455118570276"/>
    <n v="121.46153846153847"/>
  </r>
  <r>
    <x v="88"/>
    <x v="1"/>
    <x v="3"/>
    <x v="2"/>
    <n v="45"/>
    <n v="4954"/>
    <n v="110.08888888888889"/>
    <n v="1023.953249930139"/>
    <x v="1"/>
    <x v="0"/>
    <s v="March 2024"/>
    <n v="0.20669221839526422"/>
    <n v="110.08888888888889"/>
  </r>
  <r>
    <x v="89"/>
    <x v="3"/>
    <x v="4"/>
    <x v="0"/>
    <n v="42"/>
    <n v="3277"/>
    <n v="78.023809523809518"/>
    <n v="913.55719893159744"/>
    <x v="1"/>
    <x v="0"/>
    <s v="March 2024"/>
    <n v="0.27877851661019148"/>
    <n v="78.023809523809518"/>
  </r>
  <r>
    <x v="90"/>
    <x v="1"/>
    <x v="3"/>
    <x v="3"/>
    <n v="39"/>
    <n v="2228"/>
    <n v="57.128205128205131"/>
    <n v="574.19891732165092"/>
    <x v="1"/>
    <x v="0"/>
    <s v="March 2024"/>
    <n v="0.25771944224490617"/>
    <n v="57.128205128205131"/>
  </r>
  <r>
    <x v="91"/>
    <x v="1"/>
    <x v="3"/>
    <x v="2"/>
    <n v="14"/>
    <n v="2280"/>
    <n v="162.85714285714286"/>
    <n v="297.16374515813459"/>
    <x v="1"/>
    <x v="0"/>
    <s v="April 2024"/>
    <n v="0.13033497594655025"/>
    <n v="162.85714285714286"/>
  </r>
  <r>
    <x v="92"/>
    <x v="3"/>
    <x v="1"/>
    <x v="3"/>
    <n v="31"/>
    <n v="4992"/>
    <n v="161.03225806451613"/>
    <n v="810.42331248707535"/>
    <x v="1"/>
    <x v="0"/>
    <s v="April 2024"/>
    <n v="0.16234441355910964"/>
    <n v="161.03225806451613"/>
  </r>
  <r>
    <x v="93"/>
    <x v="3"/>
    <x v="1"/>
    <x v="1"/>
    <n v="5"/>
    <n v="237"/>
    <n v="47.4"/>
    <n v="35.478385227205678"/>
    <x v="1"/>
    <x v="0"/>
    <s v="April 2024"/>
    <n v="0.14969782796289316"/>
    <n v="47.4"/>
  </r>
  <r>
    <x v="94"/>
    <x v="3"/>
    <x v="0"/>
    <x v="3"/>
    <n v="35"/>
    <n v="3572"/>
    <n v="102.05714285714286"/>
    <n v="888.67523141392041"/>
    <x v="1"/>
    <x v="0"/>
    <s v="April 2024"/>
    <n v="0.2487892585145354"/>
    <n v="102.05714285714286"/>
  </r>
  <r>
    <x v="95"/>
    <x v="3"/>
    <x v="0"/>
    <x v="1"/>
    <n v="23"/>
    <n v="2932"/>
    <n v="127.47826086956522"/>
    <n v="312.86341972906098"/>
    <x v="1"/>
    <x v="0"/>
    <s v="April 2024"/>
    <n v="0.10670648694715586"/>
    <n v="127.47826086956522"/>
  </r>
  <r>
    <x v="96"/>
    <x v="3"/>
    <x v="4"/>
    <x v="3"/>
    <n v="29"/>
    <n v="3679"/>
    <n v="126.86206896551724"/>
    <n v="787.22483012831469"/>
    <x v="1"/>
    <x v="0"/>
    <s v="April 2024"/>
    <n v="0.21397793697426332"/>
    <n v="126.86206896551724"/>
  </r>
  <r>
    <x v="97"/>
    <x v="1"/>
    <x v="0"/>
    <x v="2"/>
    <n v="43"/>
    <n v="3131"/>
    <n v="72.813953488372093"/>
    <n v="790.55162901082042"/>
    <x v="1"/>
    <x v="0"/>
    <s v="April 2024"/>
    <n v="0.25249173714813811"/>
    <n v="72.813953488372093"/>
  </r>
  <r>
    <x v="98"/>
    <x v="3"/>
    <x v="3"/>
    <x v="2"/>
    <n v="11"/>
    <n v="4264"/>
    <n v="387.63636363636363"/>
    <n v="1174.10573503042"/>
    <x v="1"/>
    <x v="0"/>
    <s v="April 2024"/>
    <n v="0.2753531273523499"/>
    <n v="387.63636363636363"/>
  </r>
  <r>
    <x v="99"/>
    <x v="2"/>
    <x v="1"/>
    <x v="1"/>
    <n v="18"/>
    <n v="2693"/>
    <n v="149.61111111111111"/>
    <n v="453.54522985838781"/>
    <x v="1"/>
    <x v="0"/>
    <s v="April 2024"/>
    <n v="0.16841634974318151"/>
    <n v="149.61111111111111"/>
  </r>
  <r>
    <x v="100"/>
    <x v="0"/>
    <x v="0"/>
    <x v="0"/>
    <n v="47"/>
    <n v="4400"/>
    <n v="93.61702127659575"/>
    <n v="1162.706428111371"/>
    <x v="1"/>
    <x v="0"/>
    <s v="April 2024"/>
    <n v="0.26425146093440249"/>
    <n v="93.61702127659575"/>
  </r>
  <r>
    <x v="101"/>
    <x v="3"/>
    <x v="0"/>
    <x v="1"/>
    <n v="12"/>
    <n v="3918"/>
    <n v="326.5"/>
    <n v="478.49102907810038"/>
    <x v="1"/>
    <x v="0"/>
    <s v="April 2024"/>
    <n v="0.12212634739104145"/>
    <n v="326.5"/>
  </r>
  <r>
    <x v="102"/>
    <x v="3"/>
    <x v="4"/>
    <x v="1"/>
    <n v="9"/>
    <n v="4238"/>
    <n v="470.88888888888891"/>
    <n v="1141.252962474178"/>
    <x v="1"/>
    <x v="0"/>
    <s v="April 2024"/>
    <n v="0.26929045834690374"/>
    <n v="470.88888888888891"/>
  </r>
  <r>
    <x v="103"/>
    <x v="1"/>
    <x v="4"/>
    <x v="3"/>
    <n v="10"/>
    <n v="3923"/>
    <n v="392.3"/>
    <n v="492.3276044656734"/>
    <x v="1"/>
    <x v="0"/>
    <s v="April 2024"/>
    <n v="0.12549773246639648"/>
    <n v="392.3"/>
  </r>
  <r>
    <x v="104"/>
    <x v="3"/>
    <x v="3"/>
    <x v="3"/>
    <n v="44"/>
    <n v="4142"/>
    <n v="94.13636363636364"/>
    <n v="743.31279150020828"/>
    <x v="1"/>
    <x v="0"/>
    <s v="April 2024"/>
    <n v="0.17945745811207345"/>
    <n v="94.13636363636364"/>
  </r>
  <r>
    <x v="105"/>
    <x v="3"/>
    <x v="1"/>
    <x v="1"/>
    <n v="17"/>
    <n v="2006"/>
    <n v="118"/>
    <n v="520.47490075075689"/>
    <x v="1"/>
    <x v="0"/>
    <s v="April 2024"/>
    <n v="0.25945907315591071"/>
    <n v="118"/>
  </r>
  <r>
    <x v="106"/>
    <x v="3"/>
    <x v="4"/>
    <x v="2"/>
    <n v="38"/>
    <n v="860"/>
    <n v="22.631578947368421"/>
    <n v="111.7857975039891"/>
    <x v="1"/>
    <x v="0"/>
    <s v="April 2024"/>
    <n v="0.12998348546975477"/>
    <n v="22.631578947368421"/>
  </r>
  <r>
    <x v="107"/>
    <x v="1"/>
    <x v="0"/>
    <x v="3"/>
    <n v="7"/>
    <n v="3545"/>
    <n v="506.42857142857144"/>
    <n v="517.03923921994283"/>
    <x v="1"/>
    <x v="0"/>
    <s v="April 2024"/>
    <n v="0.14585027904652831"/>
    <n v="506.42857142857144"/>
  </r>
  <r>
    <x v="108"/>
    <x v="3"/>
    <x v="1"/>
    <x v="0"/>
    <n v="46"/>
    <n v="999"/>
    <n v="21.717391304347824"/>
    <n v="244.20606316493459"/>
    <x v="1"/>
    <x v="0"/>
    <s v="April 2024"/>
    <n v="0.2444505136786132"/>
    <n v="21.717391304347824"/>
  </r>
  <r>
    <x v="109"/>
    <x v="0"/>
    <x v="1"/>
    <x v="3"/>
    <n v="13"/>
    <n v="4555"/>
    <n v="350.38461538461536"/>
    <n v="1111.453284793474"/>
    <x v="1"/>
    <x v="0"/>
    <s v="April 2024"/>
    <n v="0.24400730730921494"/>
    <n v="350.38461538461536"/>
  </r>
  <r>
    <x v="110"/>
    <x v="1"/>
    <x v="0"/>
    <x v="3"/>
    <n v="40"/>
    <n v="3047"/>
    <n v="76.174999999999997"/>
    <n v="695.41536748030012"/>
    <x v="1"/>
    <x v="0"/>
    <s v="April 2024"/>
    <n v="0.22822952657705944"/>
    <n v="76.174999999999997"/>
  </r>
  <r>
    <x v="111"/>
    <x v="0"/>
    <x v="4"/>
    <x v="0"/>
    <n v="42"/>
    <n v="1819"/>
    <n v="43.30952380952381"/>
    <n v="434.35844409713098"/>
    <x v="1"/>
    <x v="0"/>
    <s v="April 2024"/>
    <n v="0.23878968889342"/>
    <n v="43.30952380952381"/>
  </r>
  <r>
    <x v="112"/>
    <x v="1"/>
    <x v="0"/>
    <x v="1"/>
    <n v="9"/>
    <n v="380"/>
    <n v="42.222222222222221"/>
    <n v="79.247057694417308"/>
    <x v="1"/>
    <x v="0"/>
    <s v="April 2024"/>
    <n v="0.20854488866951923"/>
    <n v="42.222222222222221"/>
  </r>
  <r>
    <x v="113"/>
    <x v="3"/>
    <x v="1"/>
    <x v="0"/>
    <n v="27"/>
    <n v="3366"/>
    <n v="124.66666666666667"/>
    <n v="506.11112645616049"/>
    <x v="1"/>
    <x v="0"/>
    <s v="April 2024"/>
    <n v="0.15035981178139052"/>
    <n v="124.66666666666667"/>
  </r>
  <r>
    <x v="114"/>
    <x v="0"/>
    <x v="2"/>
    <x v="1"/>
    <n v="2"/>
    <n v="1987"/>
    <n v="993.5"/>
    <n v="336.07958781845758"/>
    <x v="1"/>
    <x v="0"/>
    <s v="April 2024"/>
    <n v="0.16913919870078389"/>
    <n v="993.5"/>
  </r>
  <r>
    <x v="115"/>
    <x v="1"/>
    <x v="2"/>
    <x v="1"/>
    <n v="5"/>
    <n v="3366"/>
    <n v="673.2"/>
    <n v="458.85158295071972"/>
    <x v="1"/>
    <x v="0"/>
    <s v="April 2024"/>
    <n v="0.13631954336028512"/>
    <n v="673.2"/>
  </r>
  <r>
    <x v="116"/>
    <x v="2"/>
    <x v="3"/>
    <x v="1"/>
    <n v="29"/>
    <n v="766"/>
    <n v="26.413793103448278"/>
    <n v="215.7746259963119"/>
    <x v="1"/>
    <x v="0"/>
    <s v="April 2024"/>
    <n v="0.28169011226672569"/>
    <n v="26.413793103448278"/>
  </r>
  <r>
    <x v="117"/>
    <x v="3"/>
    <x v="0"/>
    <x v="0"/>
    <n v="37"/>
    <n v="4288"/>
    <n v="115.89189189189189"/>
    <n v="929.11680319142476"/>
    <x v="1"/>
    <x v="0"/>
    <s v="April 2024"/>
    <n v="0.21667835895322407"/>
    <n v="115.89189189189189"/>
  </r>
  <r>
    <x v="118"/>
    <x v="1"/>
    <x v="0"/>
    <x v="1"/>
    <n v="38"/>
    <n v="771"/>
    <n v="20.289473684210527"/>
    <n v="138.91128846495329"/>
    <x v="1"/>
    <x v="0"/>
    <s v="April 2024"/>
    <n v="0.180170283352728"/>
    <n v="20.289473684210527"/>
  </r>
  <r>
    <x v="119"/>
    <x v="2"/>
    <x v="3"/>
    <x v="2"/>
    <n v="19"/>
    <n v="2069"/>
    <n v="108.89473684210526"/>
    <n v="398.07800154794211"/>
    <x v="1"/>
    <x v="0"/>
    <s v="April 2024"/>
    <n v="0.19240116072882654"/>
    <n v="108.89473684210526"/>
  </r>
  <r>
    <x v="120"/>
    <x v="1"/>
    <x v="3"/>
    <x v="0"/>
    <n v="8"/>
    <n v="4256"/>
    <n v="532"/>
    <n v="1231.927578677577"/>
    <x v="1"/>
    <x v="0"/>
    <s v="April 2024"/>
    <n v="0.28945666792236302"/>
    <n v="532"/>
  </r>
  <r>
    <x v="121"/>
    <x v="2"/>
    <x v="3"/>
    <x v="2"/>
    <n v="48"/>
    <n v="3222"/>
    <n v="67.125"/>
    <n v="421.01964416800212"/>
    <x v="1"/>
    <x v="0"/>
    <s v="May 2024"/>
    <n v="0.13067028062321606"/>
    <n v="67.125"/>
  </r>
  <r>
    <x v="122"/>
    <x v="3"/>
    <x v="1"/>
    <x v="1"/>
    <n v="45"/>
    <n v="4799"/>
    <n v="106.64444444444445"/>
    <n v="1042.563392769722"/>
    <x v="1"/>
    <x v="0"/>
    <s v="May 2024"/>
    <n v="0.21724596640335944"/>
    <n v="106.64444444444445"/>
  </r>
  <r>
    <x v="123"/>
    <x v="0"/>
    <x v="0"/>
    <x v="3"/>
    <n v="1"/>
    <n v="4877"/>
    <n v="4877"/>
    <n v="981.14381738390807"/>
    <x v="1"/>
    <x v="0"/>
    <s v="May 2024"/>
    <n v="0.20117773577689319"/>
    <n v="4877"/>
  </r>
  <r>
    <x v="124"/>
    <x v="2"/>
    <x v="1"/>
    <x v="1"/>
    <n v="22"/>
    <n v="4000"/>
    <n v="181.81818181818181"/>
    <n v="889.1633883477183"/>
    <x v="1"/>
    <x v="0"/>
    <s v="May 2024"/>
    <n v="0.22229084708692956"/>
    <n v="181.81818181818181"/>
  </r>
  <r>
    <x v="125"/>
    <x v="1"/>
    <x v="3"/>
    <x v="2"/>
    <n v="17"/>
    <n v="623"/>
    <n v="36.647058823529413"/>
    <n v="64.556528904076728"/>
    <x v="1"/>
    <x v="0"/>
    <s v="May 2024"/>
    <n v="0.1036220367641681"/>
    <n v="36.647058823529413"/>
  </r>
  <r>
    <x v="126"/>
    <x v="3"/>
    <x v="0"/>
    <x v="2"/>
    <n v="7"/>
    <n v="2493"/>
    <n v="356.14285714285717"/>
    <n v="684.1409809995539"/>
    <x v="1"/>
    <x v="0"/>
    <s v="May 2024"/>
    <n v="0.27442478178883029"/>
    <n v="356.14285714285717"/>
  </r>
  <r>
    <x v="127"/>
    <x v="2"/>
    <x v="1"/>
    <x v="0"/>
    <n v="25"/>
    <n v="3217"/>
    <n v="128.68"/>
    <n v="921.42490294995616"/>
    <x v="1"/>
    <x v="0"/>
    <s v="May 2024"/>
    <n v="0.28642365649672247"/>
    <n v="128.68"/>
  </r>
  <r>
    <x v="128"/>
    <x v="1"/>
    <x v="1"/>
    <x v="3"/>
    <n v="45"/>
    <n v="2693"/>
    <n v="59.844444444444441"/>
    <n v="573.6807326811479"/>
    <x v="1"/>
    <x v="0"/>
    <s v="May 2024"/>
    <n v="0.21302663671784178"/>
    <n v="59.844444444444441"/>
  </r>
  <r>
    <x v="129"/>
    <x v="1"/>
    <x v="3"/>
    <x v="0"/>
    <n v="4"/>
    <n v="2068"/>
    <n v="517"/>
    <n v="494.93478075548262"/>
    <x v="1"/>
    <x v="0"/>
    <s v="May 2024"/>
    <n v="0.23933016477537844"/>
    <n v="517"/>
  </r>
  <r>
    <x v="130"/>
    <x v="1"/>
    <x v="0"/>
    <x v="2"/>
    <n v="36"/>
    <n v="1853"/>
    <n v="51.472222222222221"/>
    <n v="527.17827066430573"/>
    <x v="1"/>
    <x v="0"/>
    <s v="May 2024"/>
    <n v="0.28449987623545908"/>
    <n v="51.472222222222221"/>
  </r>
  <r>
    <x v="131"/>
    <x v="2"/>
    <x v="3"/>
    <x v="1"/>
    <n v="6"/>
    <n v="2396"/>
    <n v="399.33333333333331"/>
    <n v="578.50875356298059"/>
    <x v="1"/>
    <x v="0"/>
    <s v="May 2024"/>
    <n v="0.24144772686267971"/>
    <n v="399.33333333333331"/>
  </r>
  <r>
    <x v="132"/>
    <x v="2"/>
    <x v="0"/>
    <x v="3"/>
    <n v="31"/>
    <n v="2361"/>
    <n v="76.161290322580641"/>
    <n v="308.12893606411421"/>
    <x v="1"/>
    <x v="0"/>
    <s v="May 2024"/>
    <n v="0.13050780858285227"/>
    <n v="76.161290322580641"/>
  </r>
  <r>
    <x v="133"/>
    <x v="2"/>
    <x v="2"/>
    <x v="1"/>
    <n v="19"/>
    <n v="2386"/>
    <n v="125.57894736842105"/>
    <n v="513.60480547160319"/>
    <x v="1"/>
    <x v="0"/>
    <s v="May 2024"/>
    <n v="0.2152576720333626"/>
    <n v="125.57894736842105"/>
  </r>
  <r>
    <x v="134"/>
    <x v="0"/>
    <x v="4"/>
    <x v="1"/>
    <n v="44"/>
    <n v="4302"/>
    <n v="97.772727272727266"/>
    <n v="952.21762590780929"/>
    <x v="1"/>
    <x v="0"/>
    <s v="May 2024"/>
    <n v="0.22134300927657119"/>
    <n v="97.772727272727266"/>
  </r>
  <r>
    <x v="135"/>
    <x v="2"/>
    <x v="4"/>
    <x v="3"/>
    <n v="39"/>
    <n v="2978"/>
    <n v="76.358974358974365"/>
    <n v="550.41222782770114"/>
    <x v="1"/>
    <x v="0"/>
    <s v="May 2024"/>
    <n v="0.18482613426047723"/>
    <n v="76.358974358974365"/>
  </r>
  <r>
    <x v="136"/>
    <x v="2"/>
    <x v="4"/>
    <x v="0"/>
    <n v="27"/>
    <n v="4243"/>
    <n v="157.14814814814815"/>
    <n v="1049.24657835114"/>
    <x v="1"/>
    <x v="0"/>
    <s v="May 2024"/>
    <n v="0.24728884712494462"/>
    <n v="157.14814814814815"/>
  </r>
  <r>
    <x v="137"/>
    <x v="2"/>
    <x v="3"/>
    <x v="1"/>
    <n v="10"/>
    <n v="3744"/>
    <n v="374.4"/>
    <n v="1074.0540206590381"/>
    <x v="1"/>
    <x v="0"/>
    <s v="May 2024"/>
    <n v="0.28687340295380293"/>
    <n v="374.4"/>
  </r>
  <r>
    <x v="138"/>
    <x v="0"/>
    <x v="2"/>
    <x v="2"/>
    <n v="26"/>
    <n v="4532"/>
    <n v="174.30769230769232"/>
    <n v="1292.1353000987019"/>
    <x v="1"/>
    <x v="0"/>
    <s v="May 2024"/>
    <n v="0.28511370258135521"/>
    <n v="174.30769230769232"/>
  </r>
  <r>
    <x v="139"/>
    <x v="2"/>
    <x v="0"/>
    <x v="1"/>
    <n v="19"/>
    <n v="2155"/>
    <n v="113.42105263157895"/>
    <n v="409.81176907518102"/>
    <x v="1"/>
    <x v="0"/>
    <s v="May 2024"/>
    <n v="0.19016787428082646"/>
    <n v="113.42105263157895"/>
  </r>
  <r>
    <x v="140"/>
    <x v="1"/>
    <x v="1"/>
    <x v="3"/>
    <n v="39"/>
    <n v="4820"/>
    <n v="123.58974358974359"/>
    <n v="591.16147619048809"/>
    <x v="1"/>
    <x v="0"/>
    <s v="May 2024"/>
    <n v="0.12264760916815105"/>
    <n v="123.58974358974359"/>
  </r>
  <r>
    <x v="141"/>
    <x v="2"/>
    <x v="0"/>
    <x v="3"/>
    <n v="3"/>
    <n v="1376"/>
    <n v="458.66666666666669"/>
    <n v="408.62829795443452"/>
    <x v="1"/>
    <x v="0"/>
    <s v="May 2024"/>
    <n v="0.29696823979246695"/>
    <n v="458.66666666666669"/>
  </r>
  <r>
    <x v="142"/>
    <x v="1"/>
    <x v="1"/>
    <x v="3"/>
    <n v="45"/>
    <n v="2866"/>
    <n v="63.68888888888889"/>
    <n v="767.45638315080942"/>
    <x v="1"/>
    <x v="0"/>
    <s v="May 2024"/>
    <n v="0.26777961728918681"/>
    <n v="63.68888888888889"/>
  </r>
  <r>
    <x v="143"/>
    <x v="1"/>
    <x v="0"/>
    <x v="0"/>
    <n v="13"/>
    <n v="402"/>
    <n v="30.923076923076923"/>
    <n v="50.222879568742663"/>
    <x v="1"/>
    <x v="0"/>
    <s v="May 2024"/>
    <n v="0.12493253624065338"/>
    <n v="30.923076923076923"/>
  </r>
  <r>
    <x v="144"/>
    <x v="1"/>
    <x v="2"/>
    <x v="1"/>
    <n v="28"/>
    <n v="738"/>
    <n v="26.357142857142858"/>
    <n v="209.7162618743242"/>
    <x v="1"/>
    <x v="0"/>
    <s v="May 2024"/>
    <n v="0.28416837652347454"/>
    <n v="26.357142857142858"/>
  </r>
  <r>
    <x v="145"/>
    <x v="0"/>
    <x v="1"/>
    <x v="0"/>
    <n v="20"/>
    <n v="155"/>
    <n v="7.75"/>
    <n v="42.466787223925976"/>
    <x v="1"/>
    <x v="0"/>
    <s v="May 2024"/>
    <n v="0.27397927241242565"/>
    <n v="7.75"/>
  </r>
  <r>
    <x v="146"/>
    <x v="0"/>
    <x v="3"/>
    <x v="0"/>
    <n v="28"/>
    <n v="4921"/>
    <n v="175.75"/>
    <n v="1002.74041582348"/>
    <x v="1"/>
    <x v="0"/>
    <s v="May 2024"/>
    <n v="0.20376761142521438"/>
    <n v="175.75"/>
  </r>
  <r>
    <x v="147"/>
    <x v="0"/>
    <x v="0"/>
    <x v="3"/>
    <n v="8"/>
    <n v="625"/>
    <n v="78.125"/>
    <n v="136.40942946811609"/>
    <x v="1"/>
    <x v="0"/>
    <s v="May 2024"/>
    <n v="0.21825508714898573"/>
    <n v="78.125"/>
  </r>
  <r>
    <x v="148"/>
    <x v="2"/>
    <x v="0"/>
    <x v="3"/>
    <n v="41"/>
    <n v="4669"/>
    <n v="113.8780487804878"/>
    <n v="839.48872487392759"/>
    <x v="1"/>
    <x v="0"/>
    <s v="May 2024"/>
    <n v="0.17980054077402605"/>
    <n v="113.8780487804878"/>
  </r>
  <r>
    <x v="149"/>
    <x v="1"/>
    <x v="1"/>
    <x v="0"/>
    <n v="39"/>
    <n v="4223"/>
    <n v="108.28205128205128"/>
    <n v="468.5516801490877"/>
    <x v="1"/>
    <x v="0"/>
    <s v="May 2024"/>
    <n v="0.11095232776440628"/>
    <n v="108.28205128205128"/>
  </r>
  <r>
    <x v="150"/>
    <x v="0"/>
    <x v="3"/>
    <x v="1"/>
    <n v="1"/>
    <n v="2225"/>
    <n v="2225"/>
    <n v="371.66277253242589"/>
    <x v="1"/>
    <x v="0"/>
    <s v="May 2024"/>
    <n v="0.16703944832918016"/>
    <n v="2225"/>
  </r>
  <r>
    <x v="151"/>
    <x v="0"/>
    <x v="3"/>
    <x v="2"/>
    <n v="3"/>
    <n v="3387"/>
    <n v="1129"/>
    <n v="882.55292608029299"/>
    <x v="1"/>
    <x v="0"/>
    <s v="May 2024"/>
    <n v="0.26057068971960229"/>
    <n v="1129"/>
  </r>
  <r>
    <x v="152"/>
    <x v="2"/>
    <x v="2"/>
    <x v="0"/>
    <n v="13"/>
    <n v="464"/>
    <n v="35.692307692307693"/>
    <n v="46.829851734827137"/>
    <x v="2"/>
    <x v="0"/>
    <s v="June 2024"/>
    <n v="0.10092640460092056"/>
    <n v="35.692307692307693"/>
  </r>
  <r>
    <x v="153"/>
    <x v="0"/>
    <x v="3"/>
    <x v="1"/>
    <n v="28"/>
    <n v="4721"/>
    <n v="168.60714285714286"/>
    <n v="786.98991791077833"/>
    <x v="2"/>
    <x v="0"/>
    <s v="June 2024"/>
    <n v="0.16669983433822883"/>
    <n v="168.60714285714286"/>
  </r>
  <r>
    <x v="154"/>
    <x v="2"/>
    <x v="3"/>
    <x v="3"/>
    <n v="49"/>
    <n v="1746"/>
    <n v="35.632653061224488"/>
    <n v="313.64050780195743"/>
    <x v="2"/>
    <x v="0"/>
    <s v="June 2024"/>
    <n v="0.17963373871818866"/>
    <n v="35.632653061224488"/>
  </r>
  <r>
    <x v="155"/>
    <x v="3"/>
    <x v="3"/>
    <x v="3"/>
    <n v="25"/>
    <n v="1018"/>
    <n v="40.72"/>
    <n v="211.21374475816111"/>
    <x v="2"/>
    <x v="0"/>
    <s v="June 2024"/>
    <n v="0.20747912058758458"/>
    <n v="40.72"/>
  </r>
  <r>
    <x v="156"/>
    <x v="0"/>
    <x v="4"/>
    <x v="1"/>
    <n v="33"/>
    <n v="2897"/>
    <n v="87.787878787878782"/>
    <n v="822.66434414955336"/>
    <x v="2"/>
    <x v="0"/>
    <s v="June 2024"/>
    <n v="0.28397112328255208"/>
    <n v="87.787878787878782"/>
  </r>
  <r>
    <x v="157"/>
    <x v="3"/>
    <x v="2"/>
    <x v="2"/>
    <n v="38"/>
    <n v="1631"/>
    <n v="42.921052631578945"/>
    <n v="276.07806336217658"/>
    <x v="2"/>
    <x v="0"/>
    <s v="June 2024"/>
    <n v="0.16926919887319225"/>
    <n v="42.921052631578945"/>
  </r>
  <r>
    <x v="158"/>
    <x v="2"/>
    <x v="0"/>
    <x v="3"/>
    <n v="6"/>
    <n v="3445"/>
    <n v="574.16666666666663"/>
    <n v="583.5507561065009"/>
    <x v="2"/>
    <x v="0"/>
    <s v="June 2024"/>
    <n v="0.16939064037924553"/>
    <n v="574.16666666666663"/>
  </r>
  <r>
    <x v="159"/>
    <x v="1"/>
    <x v="1"/>
    <x v="3"/>
    <n v="44"/>
    <n v="2006"/>
    <n v="45.590909090909093"/>
    <n v="496.48550074163097"/>
    <x v="2"/>
    <x v="0"/>
    <s v="June 2024"/>
    <n v="0.24750024962194964"/>
    <n v="45.590909090909093"/>
  </r>
  <r>
    <x v="160"/>
    <x v="0"/>
    <x v="0"/>
    <x v="3"/>
    <n v="45"/>
    <n v="3186"/>
    <n v="70.8"/>
    <n v="606.75327193498504"/>
    <x v="2"/>
    <x v="0"/>
    <s v="June 2024"/>
    <n v="0.19044358817796139"/>
    <n v="70.8"/>
  </r>
  <r>
    <x v="161"/>
    <x v="2"/>
    <x v="2"/>
    <x v="1"/>
    <n v="32"/>
    <n v="4680"/>
    <n v="146.25"/>
    <n v="678.23011427182314"/>
    <x v="2"/>
    <x v="0"/>
    <s v="June 2024"/>
    <n v="0.14492096458799639"/>
    <n v="146.25"/>
  </r>
  <r>
    <x v="162"/>
    <x v="1"/>
    <x v="1"/>
    <x v="0"/>
    <n v="45"/>
    <n v="2175"/>
    <n v="48.333333333333336"/>
    <n v="414.31118951772157"/>
    <x v="2"/>
    <x v="0"/>
    <s v="June 2024"/>
    <n v="0.19048790322653866"/>
    <n v="48.333333333333336"/>
  </r>
  <r>
    <x v="163"/>
    <x v="1"/>
    <x v="2"/>
    <x v="3"/>
    <n v="47"/>
    <n v="813"/>
    <n v="17.297872340425531"/>
    <n v="104.20335151375551"/>
    <x v="2"/>
    <x v="0"/>
    <s v="June 2024"/>
    <n v="0.12817140407596003"/>
    <n v="17.297872340425531"/>
  </r>
  <r>
    <x v="164"/>
    <x v="3"/>
    <x v="3"/>
    <x v="0"/>
    <n v="21"/>
    <n v="1162"/>
    <n v="55.333333333333336"/>
    <n v="157.19233566404631"/>
    <x v="2"/>
    <x v="0"/>
    <s v="June 2024"/>
    <n v="0.13527739730124466"/>
    <n v="55.333333333333336"/>
  </r>
  <r>
    <x v="165"/>
    <x v="2"/>
    <x v="1"/>
    <x v="2"/>
    <n v="16"/>
    <n v="2076"/>
    <n v="129.75"/>
    <n v="414.52229924143188"/>
    <x v="2"/>
    <x v="0"/>
    <s v="June 2024"/>
    <n v="0.1996735545478959"/>
    <n v="129.75"/>
  </r>
  <r>
    <x v="166"/>
    <x v="1"/>
    <x v="3"/>
    <x v="3"/>
    <n v="21"/>
    <n v="1396"/>
    <n v="66.476190476190482"/>
    <n v="256.56398550166978"/>
    <x v="2"/>
    <x v="0"/>
    <s v="June 2024"/>
    <n v="0.18378508990090958"/>
    <n v="66.476190476190482"/>
  </r>
  <r>
    <x v="167"/>
    <x v="0"/>
    <x v="0"/>
    <x v="3"/>
    <n v="11"/>
    <n v="225"/>
    <n v="20.454545454545453"/>
    <n v="63.668065548064497"/>
    <x v="2"/>
    <x v="0"/>
    <s v="June 2024"/>
    <n v="0.28296918021362"/>
    <n v="20.454545454545453"/>
  </r>
  <r>
    <x v="168"/>
    <x v="0"/>
    <x v="0"/>
    <x v="2"/>
    <n v="37"/>
    <n v="4732"/>
    <n v="127.89189189189189"/>
    <n v="816.16958612398162"/>
    <x v="2"/>
    <x v="0"/>
    <s v="June 2024"/>
    <n v="0.17247877982332663"/>
    <n v="127.89189189189189"/>
  </r>
  <r>
    <x v="169"/>
    <x v="3"/>
    <x v="1"/>
    <x v="3"/>
    <n v="36"/>
    <n v="3696"/>
    <n v="102.66666666666667"/>
    <n v="798.77090852552965"/>
    <x v="2"/>
    <x v="0"/>
    <s v="June 2024"/>
    <n v="0.21611767005560867"/>
    <n v="102.66666666666667"/>
  </r>
  <r>
    <x v="170"/>
    <x v="1"/>
    <x v="1"/>
    <x v="0"/>
    <n v="35"/>
    <n v="3383"/>
    <n v="96.657142857142858"/>
    <n v="766.09001720635422"/>
    <x v="2"/>
    <x v="0"/>
    <s v="June 2024"/>
    <n v="0.22645285758390607"/>
    <n v="96.657142857142858"/>
  </r>
  <r>
    <x v="171"/>
    <x v="2"/>
    <x v="2"/>
    <x v="1"/>
    <n v="19"/>
    <n v="1703"/>
    <n v="89.631578947368425"/>
    <n v="174.75997191398639"/>
    <x v="2"/>
    <x v="0"/>
    <s v="June 2024"/>
    <n v="0.1026188913176667"/>
    <n v="89.631578947368425"/>
  </r>
  <r>
    <x v="172"/>
    <x v="0"/>
    <x v="2"/>
    <x v="0"/>
    <n v="20"/>
    <n v="166"/>
    <n v="8.3000000000000007"/>
    <n v="38.629440750954792"/>
    <x v="2"/>
    <x v="0"/>
    <s v="June 2024"/>
    <n v="0.23270747440334213"/>
    <n v="8.3000000000000007"/>
  </r>
  <r>
    <x v="173"/>
    <x v="1"/>
    <x v="3"/>
    <x v="1"/>
    <n v="18"/>
    <n v="332"/>
    <n v="18.444444444444443"/>
    <n v="45.021588200151491"/>
    <x v="2"/>
    <x v="0"/>
    <s v="June 2024"/>
    <n v="0.13560719337395027"/>
    <n v="18.444444444444443"/>
  </r>
  <r>
    <x v="174"/>
    <x v="1"/>
    <x v="1"/>
    <x v="1"/>
    <n v="47"/>
    <n v="2256"/>
    <n v="48"/>
    <n v="659.23492724221808"/>
    <x v="2"/>
    <x v="0"/>
    <s v="June 2024"/>
    <n v="0.29221406349389101"/>
    <n v="48"/>
  </r>
  <r>
    <x v="175"/>
    <x v="3"/>
    <x v="0"/>
    <x v="0"/>
    <n v="41"/>
    <n v="1269"/>
    <n v="30.951219512195124"/>
    <n v="164.6306003037401"/>
    <x v="2"/>
    <x v="0"/>
    <s v="June 2024"/>
    <n v="0.12973254555062261"/>
    <n v="30.951219512195124"/>
  </r>
  <r>
    <x v="176"/>
    <x v="0"/>
    <x v="2"/>
    <x v="0"/>
    <n v="49"/>
    <n v="2258"/>
    <n v="46.081632653061227"/>
    <n v="413.04425427512388"/>
    <x v="2"/>
    <x v="0"/>
    <s v="June 2024"/>
    <n v="0.18292482474540472"/>
    <n v="46.081632653061227"/>
  </r>
  <r>
    <x v="177"/>
    <x v="0"/>
    <x v="2"/>
    <x v="0"/>
    <n v="14"/>
    <n v="4306"/>
    <n v="307.57142857142856"/>
    <n v="504.10313414932813"/>
    <x v="2"/>
    <x v="0"/>
    <s v="June 2024"/>
    <n v="0.11706993361572877"/>
    <n v="307.57142857142856"/>
  </r>
  <r>
    <x v="178"/>
    <x v="2"/>
    <x v="0"/>
    <x v="0"/>
    <n v="15"/>
    <n v="1593"/>
    <n v="106.2"/>
    <n v="476.90413663811881"/>
    <x v="2"/>
    <x v="0"/>
    <s v="June 2024"/>
    <n v="0.29937485036918948"/>
    <n v="106.2"/>
  </r>
  <r>
    <x v="179"/>
    <x v="0"/>
    <x v="2"/>
    <x v="2"/>
    <n v="31"/>
    <n v="4818"/>
    <n v="155.41935483870967"/>
    <n v="965.71511195518531"/>
    <x v="2"/>
    <x v="0"/>
    <s v="June 2024"/>
    <n v="0.20043900206624851"/>
    <n v="155.41935483870967"/>
  </r>
  <r>
    <x v="180"/>
    <x v="2"/>
    <x v="3"/>
    <x v="3"/>
    <n v="1"/>
    <n v="4107"/>
    <n v="4107"/>
    <n v="899.749253226684"/>
    <x v="2"/>
    <x v="0"/>
    <s v="June 2024"/>
    <n v="0.21907700346400877"/>
    <n v="4107"/>
  </r>
  <r>
    <x v="181"/>
    <x v="0"/>
    <x v="1"/>
    <x v="1"/>
    <n v="3"/>
    <n v="2572"/>
    <n v="857.33333333333337"/>
    <n v="291.70413996860708"/>
    <x v="2"/>
    <x v="0"/>
    <s v="June 2024"/>
    <n v="0.11341529547768549"/>
    <n v="857.33333333333337"/>
  </r>
  <r>
    <x v="182"/>
    <x v="3"/>
    <x v="0"/>
    <x v="0"/>
    <n v="16"/>
    <n v="2760"/>
    <n v="172.5"/>
    <n v="689.97817966034609"/>
    <x v="2"/>
    <x v="0"/>
    <s v="July 2024"/>
    <n v="0.24999209407983553"/>
    <n v="172.5"/>
  </r>
  <r>
    <x v="183"/>
    <x v="0"/>
    <x v="1"/>
    <x v="0"/>
    <n v="23"/>
    <n v="2839"/>
    <n v="123.43478260869566"/>
    <n v="403.08439575967361"/>
    <x v="2"/>
    <x v="0"/>
    <s v="July 2024"/>
    <n v="0.14198111861911716"/>
    <n v="123.43478260869566"/>
  </r>
  <r>
    <x v="184"/>
    <x v="2"/>
    <x v="2"/>
    <x v="0"/>
    <n v="11"/>
    <n v="1861"/>
    <n v="169.18181818181819"/>
    <n v="520.35580652983367"/>
    <x v="2"/>
    <x v="0"/>
    <s v="July 2024"/>
    <n v="0.27961085788814277"/>
    <n v="169.18181818181819"/>
  </r>
  <r>
    <x v="185"/>
    <x v="2"/>
    <x v="2"/>
    <x v="2"/>
    <n v="12"/>
    <n v="3614"/>
    <n v="301.16666666666669"/>
    <n v="509.67493214039479"/>
    <x v="2"/>
    <x v="0"/>
    <s v="July 2024"/>
    <n v="0.14102792809640144"/>
    <n v="301.16666666666669"/>
  </r>
  <r>
    <x v="186"/>
    <x v="3"/>
    <x v="0"/>
    <x v="0"/>
    <n v="10"/>
    <n v="2075"/>
    <n v="207.5"/>
    <n v="286.63540407542172"/>
    <x v="2"/>
    <x v="0"/>
    <s v="July 2024"/>
    <n v="0.13813754413273335"/>
    <n v="207.5"/>
  </r>
  <r>
    <x v="187"/>
    <x v="0"/>
    <x v="3"/>
    <x v="0"/>
    <n v="32"/>
    <n v="2462"/>
    <n v="76.9375"/>
    <n v="264.19705644840201"/>
    <x v="2"/>
    <x v="0"/>
    <s v="July 2024"/>
    <n v="0.10730993356961901"/>
    <n v="76.9375"/>
  </r>
  <r>
    <x v="188"/>
    <x v="0"/>
    <x v="4"/>
    <x v="0"/>
    <n v="16"/>
    <n v="976"/>
    <n v="61"/>
    <n v="189.7474676854718"/>
    <x v="2"/>
    <x v="0"/>
    <s v="July 2024"/>
    <n v="0.19441338902199981"/>
    <n v="61"/>
  </r>
  <r>
    <x v="189"/>
    <x v="3"/>
    <x v="0"/>
    <x v="3"/>
    <n v="8"/>
    <n v="3912"/>
    <n v="489"/>
    <n v="833.13170266467114"/>
    <x v="2"/>
    <x v="0"/>
    <s v="July 2024"/>
    <n v="0.2129682266525233"/>
    <n v="489"/>
  </r>
  <r>
    <x v="190"/>
    <x v="0"/>
    <x v="4"/>
    <x v="2"/>
    <n v="38"/>
    <n v="3548"/>
    <n v="93.368421052631575"/>
    <n v="401.42685053835879"/>
    <x v="2"/>
    <x v="0"/>
    <s v="July 2024"/>
    <n v="0.11314172788567047"/>
    <n v="93.368421052631575"/>
  </r>
  <r>
    <x v="191"/>
    <x v="0"/>
    <x v="4"/>
    <x v="0"/>
    <n v="12"/>
    <n v="1412"/>
    <n v="117.66666666666667"/>
    <n v="360.20899895467102"/>
    <x v="2"/>
    <x v="0"/>
    <s v="July 2024"/>
    <n v="0.25510552333900216"/>
    <n v="117.66666666666667"/>
  </r>
  <r>
    <x v="192"/>
    <x v="2"/>
    <x v="3"/>
    <x v="1"/>
    <n v="24"/>
    <n v="1560"/>
    <n v="65"/>
    <n v="297.42611644138458"/>
    <x v="2"/>
    <x v="0"/>
    <s v="July 2024"/>
    <n v="0.19065776694960551"/>
    <n v="65"/>
  </r>
  <r>
    <x v="193"/>
    <x v="0"/>
    <x v="4"/>
    <x v="1"/>
    <n v="28"/>
    <n v="2809"/>
    <n v="100.32142857142857"/>
    <n v="575.50245330823441"/>
    <x v="2"/>
    <x v="0"/>
    <s v="July 2024"/>
    <n v="0.204878053865516"/>
    <n v="100.32142857142857"/>
  </r>
  <r>
    <x v="194"/>
    <x v="0"/>
    <x v="4"/>
    <x v="1"/>
    <n v="8"/>
    <n v="2424"/>
    <n v="303"/>
    <n v="456.08177971565311"/>
    <x v="2"/>
    <x v="0"/>
    <s v="July 2024"/>
    <n v="0.18815254938764567"/>
    <n v="303"/>
  </r>
  <r>
    <x v="195"/>
    <x v="3"/>
    <x v="3"/>
    <x v="2"/>
    <n v="28"/>
    <n v="1833"/>
    <n v="65.464285714285708"/>
    <n v="330.21973811689452"/>
    <x v="2"/>
    <x v="0"/>
    <s v="July 2024"/>
    <n v="0.1801526121750652"/>
    <n v="65.464285714285708"/>
  </r>
  <r>
    <x v="196"/>
    <x v="3"/>
    <x v="4"/>
    <x v="2"/>
    <n v="36"/>
    <n v="1705"/>
    <n v="47.361111111111114"/>
    <n v="361.3373529761023"/>
    <x v="2"/>
    <x v="0"/>
    <s v="July 2024"/>
    <n v="0.21192806626164357"/>
    <n v="47.361111111111114"/>
  </r>
  <r>
    <x v="197"/>
    <x v="1"/>
    <x v="4"/>
    <x v="1"/>
    <n v="26"/>
    <n v="2663"/>
    <n v="102.42307692307692"/>
    <n v="348.98095498269743"/>
    <x v="2"/>
    <x v="0"/>
    <s v="July 2024"/>
    <n v="0.13104804918614249"/>
    <n v="102.42307692307692"/>
  </r>
  <r>
    <x v="198"/>
    <x v="2"/>
    <x v="4"/>
    <x v="0"/>
    <n v="8"/>
    <n v="3521"/>
    <n v="440.125"/>
    <n v="480.21378949476991"/>
    <x v="2"/>
    <x v="0"/>
    <s v="July 2024"/>
    <n v="0.13638562609905422"/>
    <n v="440.125"/>
  </r>
  <r>
    <x v="199"/>
    <x v="0"/>
    <x v="0"/>
    <x v="2"/>
    <n v="28"/>
    <n v="3617"/>
    <n v="129.17857142857142"/>
    <n v="985.11571824117823"/>
    <x v="2"/>
    <x v="0"/>
    <s v="July 2024"/>
    <n v="0.27235712420270342"/>
    <n v="129.1785714285714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n v="1"/>
    <n v="56"/>
    <x v="0"/>
    <x v="0"/>
    <x v="0"/>
    <x v="0"/>
    <x v="0"/>
  </r>
  <r>
    <n v="2"/>
    <n v="20"/>
    <x v="0"/>
    <x v="1"/>
    <x v="0"/>
    <x v="0"/>
    <x v="1"/>
  </r>
  <r>
    <n v="3"/>
    <n v="49"/>
    <x v="1"/>
    <x v="0"/>
    <x v="1"/>
    <x v="0"/>
    <x v="2"/>
  </r>
  <r>
    <n v="4"/>
    <n v="27"/>
    <x v="1"/>
    <x v="0"/>
    <x v="1"/>
    <x v="1"/>
    <x v="3"/>
  </r>
  <r>
    <n v="5"/>
    <n v="27"/>
    <x v="1"/>
    <x v="2"/>
    <x v="1"/>
    <x v="2"/>
    <x v="3"/>
  </r>
  <r>
    <n v="6"/>
    <n v="36"/>
    <x v="1"/>
    <x v="2"/>
    <x v="0"/>
    <x v="1"/>
    <x v="4"/>
  </r>
  <r>
    <n v="7"/>
    <n v="51"/>
    <x v="1"/>
    <x v="2"/>
    <x v="1"/>
    <x v="2"/>
    <x v="3"/>
  </r>
  <r>
    <n v="8"/>
    <n v="50"/>
    <x v="1"/>
    <x v="1"/>
    <x v="0"/>
    <x v="2"/>
    <x v="5"/>
  </r>
  <r>
    <n v="9"/>
    <n v="40"/>
    <x v="1"/>
    <x v="3"/>
    <x v="0"/>
    <x v="3"/>
    <x v="5"/>
  </r>
  <r>
    <n v="10"/>
    <n v="45"/>
    <x v="2"/>
    <x v="0"/>
    <x v="1"/>
    <x v="3"/>
    <x v="1"/>
  </r>
  <r>
    <n v="11"/>
    <n v="49"/>
    <x v="0"/>
    <x v="0"/>
    <x v="0"/>
    <x v="2"/>
    <x v="6"/>
  </r>
  <r>
    <n v="12"/>
    <n v="24"/>
    <x v="1"/>
    <x v="0"/>
    <x v="1"/>
    <x v="2"/>
    <x v="7"/>
  </r>
  <r>
    <n v="13"/>
    <n v="46"/>
    <x v="2"/>
    <x v="1"/>
    <x v="1"/>
    <x v="1"/>
    <x v="3"/>
  </r>
  <r>
    <n v="14"/>
    <n v="25"/>
    <x v="2"/>
    <x v="2"/>
    <x v="0"/>
    <x v="1"/>
    <x v="8"/>
  </r>
  <r>
    <n v="15"/>
    <n v="18"/>
    <x v="2"/>
    <x v="3"/>
    <x v="1"/>
    <x v="3"/>
    <x v="9"/>
  </r>
  <r>
    <n v="16"/>
    <n v="20"/>
    <x v="0"/>
    <x v="1"/>
    <x v="0"/>
    <x v="0"/>
    <x v="4"/>
  </r>
  <r>
    <n v="17"/>
    <n v="41"/>
    <x v="1"/>
    <x v="2"/>
    <x v="0"/>
    <x v="2"/>
    <x v="4"/>
  </r>
  <r>
    <n v="18"/>
    <n v="40"/>
    <x v="2"/>
    <x v="1"/>
    <x v="1"/>
    <x v="1"/>
    <x v="8"/>
  </r>
  <r>
    <n v="19"/>
    <n v="25"/>
    <x v="0"/>
    <x v="3"/>
    <x v="1"/>
    <x v="3"/>
    <x v="10"/>
  </r>
  <r>
    <n v="20"/>
    <n v="54"/>
    <x v="0"/>
    <x v="2"/>
    <x v="1"/>
    <x v="1"/>
    <x v="8"/>
  </r>
  <r>
    <n v="21"/>
    <n v="20"/>
    <x v="0"/>
    <x v="1"/>
    <x v="1"/>
    <x v="2"/>
    <x v="10"/>
  </r>
  <r>
    <n v="22"/>
    <n v="50"/>
    <x v="2"/>
    <x v="3"/>
    <x v="0"/>
    <x v="2"/>
    <x v="0"/>
  </r>
  <r>
    <n v="23"/>
    <n v="45"/>
    <x v="1"/>
    <x v="0"/>
    <x v="1"/>
    <x v="4"/>
    <x v="9"/>
  </r>
  <r>
    <n v="24"/>
    <n v="25"/>
    <x v="2"/>
    <x v="3"/>
    <x v="1"/>
    <x v="0"/>
    <x v="4"/>
  </r>
  <r>
    <n v="25"/>
    <n v="51"/>
    <x v="2"/>
    <x v="0"/>
    <x v="1"/>
    <x v="4"/>
    <x v="8"/>
  </r>
  <r>
    <n v="26"/>
    <n v="52"/>
    <x v="1"/>
    <x v="1"/>
    <x v="1"/>
    <x v="3"/>
    <x v="0"/>
  </r>
  <r>
    <n v="27"/>
    <n v="49"/>
    <x v="1"/>
    <x v="2"/>
    <x v="0"/>
    <x v="1"/>
    <x v="2"/>
  </r>
  <r>
    <n v="28"/>
    <n v="41"/>
    <x v="1"/>
    <x v="2"/>
    <x v="1"/>
    <x v="3"/>
    <x v="7"/>
  </r>
  <r>
    <n v="29"/>
    <n v="31"/>
    <x v="0"/>
    <x v="1"/>
    <x v="0"/>
    <x v="2"/>
    <x v="0"/>
  </r>
  <r>
    <n v="30"/>
    <n v="49"/>
    <x v="1"/>
    <x v="2"/>
    <x v="1"/>
    <x v="4"/>
    <x v="7"/>
  </r>
  <r>
    <n v="31"/>
    <n v="60"/>
    <x v="2"/>
    <x v="2"/>
    <x v="0"/>
    <x v="4"/>
    <x v="8"/>
  </r>
  <r>
    <n v="32"/>
    <n v="33"/>
    <x v="1"/>
    <x v="0"/>
    <x v="1"/>
    <x v="4"/>
    <x v="6"/>
  </r>
  <r>
    <n v="33"/>
    <n v="21"/>
    <x v="2"/>
    <x v="1"/>
    <x v="1"/>
    <x v="3"/>
    <x v="0"/>
  </r>
  <r>
    <n v="34"/>
    <n v="54"/>
    <x v="0"/>
    <x v="3"/>
    <x v="0"/>
    <x v="2"/>
    <x v="9"/>
  </r>
  <r>
    <n v="35"/>
    <n v="38"/>
    <x v="2"/>
    <x v="0"/>
    <x v="1"/>
    <x v="1"/>
    <x v="8"/>
  </r>
  <r>
    <n v="36"/>
    <n v="31"/>
    <x v="2"/>
    <x v="1"/>
    <x v="0"/>
    <x v="1"/>
    <x v="3"/>
  </r>
  <r>
    <n v="37"/>
    <n v="48"/>
    <x v="1"/>
    <x v="0"/>
    <x v="1"/>
    <x v="3"/>
    <x v="5"/>
  </r>
  <r>
    <n v="38"/>
    <n v="35"/>
    <x v="1"/>
    <x v="3"/>
    <x v="1"/>
    <x v="4"/>
    <x v="0"/>
  </r>
  <r>
    <n v="39"/>
    <n v="24"/>
    <x v="2"/>
    <x v="3"/>
    <x v="1"/>
    <x v="0"/>
    <x v="9"/>
  </r>
  <r>
    <n v="40"/>
    <n v="27"/>
    <x v="1"/>
    <x v="1"/>
    <x v="0"/>
    <x v="3"/>
    <x v="2"/>
  </r>
  <r>
    <n v="41"/>
    <n v="24"/>
    <x v="0"/>
    <x v="3"/>
    <x v="1"/>
    <x v="3"/>
    <x v="3"/>
  </r>
  <r>
    <n v="42"/>
    <n v="50"/>
    <x v="0"/>
    <x v="0"/>
    <x v="1"/>
    <x v="2"/>
    <x v="2"/>
  </r>
  <r>
    <n v="43"/>
    <n v="40"/>
    <x v="1"/>
    <x v="3"/>
    <x v="1"/>
    <x v="1"/>
    <x v="8"/>
  </r>
  <r>
    <n v="44"/>
    <n v="38"/>
    <x v="0"/>
    <x v="0"/>
    <x v="1"/>
    <x v="3"/>
    <x v="5"/>
  </r>
  <r>
    <n v="45"/>
    <n v="36"/>
    <x v="1"/>
    <x v="0"/>
    <x v="1"/>
    <x v="3"/>
    <x v="0"/>
  </r>
  <r>
    <n v="46"/>
    <n v="36"/>
    <x v="2"/>
    <x v="3"/>
    <x v="0"/>
    <x v="4"/>
    <x v="0"/>
  </r>
  <r>
    <n v="47"/>
    <n v="53"/>
    <x v="2"/>
    <x v="1"/>
    <x v="0"/>
    <x v="4"/>
    <x v="6"/>
  </r>
  <r>
    <n v="48"/>
    <n v="46"/>
    <x v="0"/>
    <x v="2"/>
    <x v="0"/>
    <x v="0"/>
    <x v="4"/>
  </r>
  <r>
    <n v="49"/>
    <n v="35"/>
    <x v="1"/>
    <x v="3"/>
    <x v="0"/>
    <x v="2"/>
    <x v="6"/>
  </r>
  <r>
    <n v="50"/>
    <n v="19"/>
    <x v="1"/>
    <x v="0"/>
    <x v="1"/>
    <x v="0"/>
    <x v="8"/>
  </r>
  <r>
    <n v="51"/>
    <n v="18"/>
    <x v="0"/>
    <x v="0"/>
    <x v="0"/>
    <x v="4"/>
    <x v="8"/>
  </r>
  <r>
    <n v="52"/>
    <n v="22"/>
    <x v="2"/>
    <x v="3"/>
    <x v="1"/>
    <x v="1"/>
    <x v="5"/>
  </r>
  <r>
    <n v="53"/>
    <n v="37"/>
    <x v="0"/>
    <x v="1"/>
    <x v="1"/>
    <x v="4"/>
    <x v="6"/>
  </r>
  <r>
    <n v="54"/>
    <n v="28"/>
    <x v="2"/>
    <x v="1"/>
    <x v="1"/>
    <x v="2"/>
    <x v="9"/>
  </r>
  <r>
    <n v="55"/>
    <n v="59"/>
    <x v="1"/>
    <x v="0"/>
    <x v="1"/>
    <x v="4"/>
    <x v="9"/>
  </r>
  <r>
    <n v="56"/>
    <n v="19"/>
    <x v="2"/>
    <x v="0"/>
    <x v="0"/>
    <x v="2"/>
    <x v="5"/>
  </r>
  <r>
    <n v="57"/>
    <n v="20"/>
    <x v="0"/>
    <x v="1"/>
    <x v="1"/>
    <x v="2"/>
    <x v="4"/>
  </r>
  <r>
    <n v="58"/>
    <n v="40"/>
    <x v="1"/>
    <x v="2"/>
    <x v="1"/>
    <x v="2"/>
    <x v="9"/>
  </r>
  <r>
    <n v="59"/>
    <n v="29"/>
    <x v="0"/>
    <x v="3"/>
    <x v="1"/>
    <x v="2"/>
    <x v="10"/>
  </r>
  <r>
    <n v="60"/>
    <n v="37"/>
    <x v="0"/>
    <x v="0"/>
    <x v="0"/>
    <x v="2"/>
    <x v="7"/>
  </r>
  <r>
    <n v="61"/>
    <n v="22"/>
    <x v="2"/>
    <x v="0"/>
    <x v="1"/>
    <x v="1"/>
    <x v="5"/>
  </r>
  <r>
    <n v="62"/>
    <n v="54"/>
    <x v="0"/>
    <x v="1"/>
    <x v="1"/>
    <x v="0"/>
    <x v="5"/>
  </r>
  <r>
    <n v="63"/>
    <n v="55"/>
    <x v="2"/>
    <x v="3"/>
    <x v="1"/>
    <x v="3"/>
    <x v="1"/>
  </r>
  <r>
    <n v="64"/>
    <n v="47"/>
    <x v="1"/>
    <x v="1"/>
    <x v="0"/>
    <x v="0"/>
    <x v="3"/>
  </r>
  <r>
    <n v="65"/>
    <n v="26"/>
    <x v="2"/>
    <x v="3"/>
    <x v="1"/>
    <x v="2"/>
    <x v="3"/>
  </r>
  <r>
    <n v="66"/>
    <n v="51"/>
    <x v="1"/>
    <x v="3"/>
    <x v="1"/>
    <x v="1"/>
    <x v="10"/>
  </r>
  <r>
    <n v="67"/>
    <n v="52"/>
    <x v="2"/>
    <x v="3"/>
    <x v="1"/>
    <x v="4"/>
    <x v="6"/>
  </r>
  <r>
    <n v="68"/>
    <n v="39"/>
    <x v="0"/>
    <x v="0"/>
    <x v="1"/>
    <x v="1"/>
    <x v="8"/>
  </r>
  <r>
    <n v="69"/>
    <n v="41"/>
    <x v="2"/>
    <x v="2"/>
    <x v="1"/>
    <x v="2"/>
    <x v="8"/>
  </r>
  <r>
    <n v="70"/>
    <n v="34"/>
    <x v="2"/>
    <x v="1"/>
    <x v="1"/>
    <x v="1"/>
    <x v="2"/>
  </r>
  <r>
    <n v="71"/>
    <n v="27"/>
    <x v="1"/>
    <x v="2"/>
    <x v="0"/>
    <x v="1"/>
    <x v="10"/>
  </r>
  <r>
    <n v="72"/>
    <n v="47"/>
    <x v="0"/>
    <x v="1"/>
    <x v="1"/>
    <x v="2"/>
    <x v="5"/>
  </r>
  <r>
    <n v="73"/>
    <n v="40"/>
    <x v="2"/>
    <x v="3"/>
    <x v="1"/>
    <x v="1"/>
    <x v="10"/>
  </r>
  <r>
    <n v="74"/>
    <n v="49"/>
    <x v="0"/>
    <x v="0"/>
    <x v="0"/>
    <x v="3"/>
    <x v="10"/>
  </r>
  <r>
    <n v="75"/>
    <n v="34"/>
    <x v="2"/>
    <x v="2"/>
    <x v="1"/>
    <x v="3"/>
    <x v="10"/>
  </r>
  <r>
    <n v="76"/>
    <n v="34"/>
    <x v="2"/>
    <x v="0"/>
    <x v="1"/>
    <x v="1"/>
    <x v="3"/>
  </r>
  <r>
    <n v="77"/>
    <n v="31"/>
    <x v="0"/>
    <x v="1"/>
    <x v="1"/>
    <x v="4"/>
    <x v="10"/>
  </r>
  <r>
    <n v="78"/>
    <n v="26"/>
    <x v="2"/>
    <x v="0"/>
    <x v="1"/>
    <x v="2"/>
    <x v="4"/>
  </r>
  <r>
    <n v="79"/>
    <n v="57"/>
    <x v="0"/>
    <x v="0"/>
    <x v="0"/>
    <x v="3"/>
    <x v="7"/>
  </r>
  <r>
    <n v="80"/>
    <n v="19"/>
    <x v="2"/>
    <x v="2"/>
    <x v="1"/>
    <x v="4"/>
    <x v="8"/>
  </r>
  <r>
    <n v="81"/>
    <n v="42"/>
    <x v="1"/>
    <x v="3"/>
    <x v="0"/>
    <x v="1"/>
    <x v="2"/>
  </r>
  <r>
    <n v="82"/>
    <n v="56"/>
    <x v="0"/>
    <x v="0"/>
    <x v="1"/>
    <x v="4"/>
    <x v="7"/>
  </r>
  <r>
    <n v="83"/>
    <n v="26"/>
    <x v="2"/>
    <x v="3"/>
    <x v="1"/>
    <x v="0"/>
    <x v="2"/>
  </r>
  <r>
    <n v="84"/>
    <n v="39"/>
    <x v="2"/>
    <x v="1"/>
    <x v="1"/>
    <x v="3"/>
    <x v="1"/>
  </r>
  <r>
    <n v="85"/>
    <n v="60"/>
    <x v="1"/>
    <x v="0"/>
    <x v="1"/>
    <x v="1"/>
    <x v="2"/>
  </r>
  <r>
    <n v="86"/>
    <n v="21"/>
    <x v="0"/>
    <x v="2"/>
    <x v="1"/>
    <x v="2"/>
    <x v="8"/>
  </r>
  <r>
    <n v="87"/>
    <n v="43"/>
    <x v="2"/>
    <x v="1"/>
    <x v="0"/>
    <x v="1"/>
    <x v="8"/>
  </r>
  <r>
    <n v="88"/>
    <n v="46"/>
    <x v="1"/>
    <x v="1"/>
    <x v="1"/>
    <x v="2"/>
    <x v="10"/>
  </r>
  <r>
    <n v="89"/>
    <n v="51"/>
    <x v="2"/>
    <x v="2"/>
    <x v="0"/>
    <x v="1"/>
    <x v="0"/>
  </r>
  <r>
    <n v="90"/>
    <n v="40"/>
    <x v="0"/>
    <x v="0"/>
    <x v="1"/>
    <x v="4"/>
    <x v="1"/>
  </r>
  <r>
    <n v="91"/>
    <n v="54"/>
    <x v="2"/>
    <x v="0"/>
    <x v="0"/>
    <x v="4"/>
    <x v="4"/>
  </r>
  <r>
    <n v="92"/>
    <n v="28"/>
    <x v="2"/>
    <x v="1"/>
    <x v="0"/>
    <x v="4"/>
    <x v="5"/>
  </r>
  <r>
    <n v="93"/>
    <n v="23"/>
    <x v="2"/>
    <x v="0"/>
    <x v="0"/>
    <x v="0"/>
    <x v="9"/>
  </r>
  <r>
    <n v="94"/>
    <n v="35"/>
    <x v="2"/>
    <x v="3"/>
    <x v="0"/>
    <x v="2"/>
    <x v="2"/>
  </r>
  <r>
    <n v="95"/>
    <n v="38"/>
    <x v="1"/>
    <x v="2"/>
    <x v="0"/>
    <x v="4"/>
    <x v="0"/>
  </r>
  <r>
    <n v="96"/>
    <n v="59"/>
    <x v="1"/>
    <x v="3"/>
    <x v="1"/>
    <x v="0"/>
    <x v="10"/>
  </r>
  <r>
    <n v="97"/>
    <n v="53"/>
    <x v="0"/>
    <x v="0"/>
    <x v="1"/>
    <x v="2"/>
    <x v="3"/>
  </r>
  <r>
    <n v="98"/>
    <n v="58"/>
    <x v="1"/>
    <x v="1"/>
    <x v="1"/>
    <x v="1"/>
    <x v="5"/>
  </r>
  <r>
    <n v="99"/>
    <n v="55"/>
    <x v="1"/>
    <x v="2"/>
    <x v="0"/>
    <x v="0"/>
    <x v="6"/>
  </r>
  <r>
    <n v="100"/>
    <n v="51"/>
    <x v="0"/>
    <x v="0"/>
    <x v="1"/>
    <x v="3"/>
    <x v="0"/>
  </r>
  <r>
    <n v="101"/>
    <n v="34"/>
    <x v="1"/>
    <x v="0"/>
    <x v="0"/>
    <x v="0"/>
    <x v="3"/>
  </r>
  <r>
    <n v="102"/>
    <n v="54"/>
    <x v="1"/>
    <x v="1"/>
    <x v="1"/>
    <x v="0"/>
    <x v="1"/>
  </r>
  <r>
    <n v="103"/>
    <n v="42"/>
    <x v="0"/>
    <x v="1"/>
    <x v="1"/>
    <x v="2"/>
    <x v="10"/>
  </r>
  <r>
    <n v="104"/>
    <n v="55"/>
    <x v="0"/>
    <x v="3"/>
    <x v="1"/>
    <x v="1"/>
    <x v="5"/>
  </r>
  <r>
    <n v="105"/>
    <n v="29"/>
    <x v="0"/>
    <x v="2"/>
    <x v="1"/>
    <x v="3"/>
    <x v="5"/>
  </r>
  <r>
    <n v="106"/>
    <n v="40"/>
    <x v="2"/>
    <x v="2"/>
    <x v="1"/>
    <x v="4"/>
    <x v="5"/>
  </r>
  <r>
    <n v="107"/>
    <n v="59"/>
    <x v="2"/>
    <x v="1"/>
    <x v="1"/>
    <x v="4"/>
    <x v="1"/>
  </r>
  <r>
    <n v="108"/>
    <n v="39"/>
    <x v="0"/>
    <x v="3"/>
    <x v="1"/>
    <x v="0"/>
    <x v="2"/>
  </r>
  <r>
    <n v="109"/>
    <n v="38"/>
    <x v="0"/>
    <x v="2"/>
    <x v="1"/>
    <x v="2"/>
    <x v="6"/>
  </r>
  <r>
    <n v="110"/>
    <n v="44"/>
    <x v="0"/>
    <x v="1"/>
    <x v="1"/>
    <x v="2"/>
    <x v="4"/>
  </r>
  <r>
    <n v="111"/>
    <n v="48"/>
    <x v="2"/>
    <x v="0"/>
    <x v="1"/>
    <x v="4"/>
    <x v="1"/>
  </r>
  <r>
    <n v="112"/>
    <n v="23"/>
    <x v="2"/>
    <x v="2"/>
    <x v="0"/>
    <x v="3"/>
    <x v="9"/>
  </r>
  <r>
    <n v="113"/>
    <n v="44"/>
    <x v="1"/>
    <x v="3"/>
    <x v="1"/>
    <x v="1"/>
    <x v="6"/>
  </r>
  <r>
    <n v="114"/>
    <n v="57"/>
    <x v="1"/>
    <x v="3"/>
    <x v="1"/>
    <x v="3"/>
    <x v="8"/>
  </r>
  <r>
    <n v="115"/>
    <n v="51"/>
    <x v="0"/>
    <x v="3"/>
    <x v="1"/>
    <x v="1"/>
    <x v="10"/>
  </r>
  <r>
    <n v="116"/>
    <n v="29"/>
    <x v="2"/>
    <x v="0"/>
    <x v="1"/>
    <x v="4"/>
    <x v="1"/>
  </r>
  <r>
    <n v="117"/>
    <n v="24"/>
    <x v="2"/>
    <x v="2"/>
    <x v="1"/>
    <x v="1"/>
    <x v="3"/>
  </r>
  <r>
    <n v="118"/>
    <n v="27"/>
    <x v="2"/>
    <x v="2"/>
    <x v="1"/>
    <x v="2"/>
    <x v="6"/>
  </r>
  <r>
    <n v="119"/>
    <n v="34"/>
    <x v="0"/>
    <x v="0"/>
    <x v="1"/>
    <x v="0"/>
    <x v="9"/>
  </r>
  <r>
    <n v="120"/>
    <n v="43"/>
    <x v="1"/>
    <x v="2"/>
    <x v="1"/>
    <x v="0"/>
    <x v="8"/>
  </r>
  <r>
    <n v="121"/>
    <n v="38"/>
    <x v="0"/>
    <x v="0"/>
    <x v="1"/>
    <x v="4"/>
    <x v="2"/>
  </r>
  <r>
    <n v="122"/>
    <n v="45"/>
    <x v="1"/>
    <x v="0"/>
    <x v="0"/>
    <x v="2"/>
    <x v="3"/>
  </r>
  <r>
    <n v="123"/>
    <n v="19"/>
    <x v="1"/>
    <x v="0"/>
    <x v="0"/>
    <x v="3"/>
    <x v="6"/>
  </r>
  <r>
    <n v="124"/>
    <n v="60"/>
    <x v="0"/>
    <x v="3"/>
    <x v="1"/>
    <x v="2"/>
    <x v="10"/>
  </r>
  <r>
    <n v="125"/>
    <n v="18"/>
    <x v="1"/>
    <x v="2"/>
    <x v="1"/>
    <x v="0"/>
    <x v="3"/>
  </r>
  <r>
    <n v="126"/>
    <n v="53"/>
    <x v="1"/>
    <x v="0"/>
    <x v="1"/>
    <x v="0"/>
    <x v="8"/>
  </r>
  <r>
    <n v="127"/>
    <n v="43"/>
    <x v="2"/>
    <x v="2"/>
    <x v="1"/>
    <x v="2"/>
    <x v="3"/>
  </r>
  <r>
    <n v="128"/>
    <n v="46"/>
    <x v="1"/>
    <x v="3"/>
    <x v="0"/>
    <x v="2"/>
    <x v="7"/>
  </r>
  <r>
    <n v="129"/>
    <n v="38"/>
    <x v="0"/>
    <x v="0"/>
    <x v="1"/>
    <x v="0"/>
    <x v="4"/>
  </r>
  <r>
    <n v="130"/>
    <n v="28"/>
    <x v="0"/>
    <x v="1"/>
    <x v="1"/>
    <x v="3"/>
    <x v="0"/>
  </r>
  <r>
    <n v="131"/>
    <n v="57"/>
    <x v="1"/>
    <x v="3"/>
    <x v="1"/>
    <x v="4"/>
    <x v="2"/>
  </r>
  <r>
    <n v="132"/>
    <n v="28"/>
    <x v="2"/>
    <x v="1"/>
    <x v="0"/>
    <x v="4"/>
    <x v="8"/>
  </r>
  <r>
    <n v="133"/>
    <n v="53"/>
    <x v="2"/>
    <x v="2"/>
    <x v="1"/>
    <x v="2"/>
    <x v="4"/>
  </r>
  <r>
    <n v="134"/>
    <n v="56"/>
    <x v="1"/>
    <x v="2"/>
    <x v="1"/>
    <x v="4"/>
    <x v="4"/>
  </r>
  <r>
    <n v="135"/>
    <n v="57"/>
    <x v="1"/>
    <x v="3"/>
    <x v="1"/>
    <x v="0"/>
    <x v="3"/>
  </r>
  <r>
    <n v="136"/>
    <n v="52"/>
    <x v="0"/>
    <x v="2"/>
    <x v="1"/>
    <x v="0"/>
    <x v="0"/>
  </r>
  <r>
    <n v="137"/>
    <n v="51"/>
    <x v="1"/>
    <x v="1"/>
    <x v="1"/>
    <x v="2"/>
    <x v="4"/>
  </r>
  <r>
    <n v="138"/>
    <n v="41"/>
    <x v="2"/>
    <x v="0"/>
    <x v="1"/>
    <x v="2"/>
    <x v="0"/>
  </r>
  <r>
    <n v="139"/>
    <n v="39"/>
    <x v="1"/>
    <x v="0"/>
    <x v="1"/>
    <x v="2"/>
    <x v="3"/>
  </r>
  <r>
    <n v="140"/>
    <n v="22"/>
    <x v="0"/>
    <x v="0"/>
    <x v="1"/>
    <x v="3"/>
    <x v="10"/>
  </r>
  <r>
    <n v="141"/>
    <n v="50"/>
    <x v="0"/>
    <x v="3"/>
    <x v="1"/>
    <x v="4"/>
    <x v="7"/>
  </r>
  <r>
    <n v="142"/>
    <n v="53"/>
    <x v="0"/>
    <x v="2"/>
    <x v="1"/>
    <x v="2"/>
    <x v="4"/>
  </r>
  <r>
    <n v="143"/>
    <n v="37"/>
    <x v="0"/>
    <x v="1"/>
    <x v="1"/>
    <x v="1"/>
    <x v="1"/>
  </r>
  <r>
    <n v="144"/>
    <n v="36"/>
    <x v="0"/>
    <x v="2"/>
    <x v="1"/>
    <x v="1"/>
    <x v="7"/>
  </r>
  <r>
    <n v="145"/>
    <n v="52"/>
    <x v="1"/>
    <x v="2"/>
    <x v="0"/>
    <x v="0"/>
    <x v="3"/>
  </r>
  <r>
    <n v="146"/>
    <n v="60"/>
    <x v="1"/>
    <x v="2"/>
    <x v="1"/>
    <x v="4"/>
    <x v="2"/>
  </r>
  <r>
    <n v="147"/>
    <n v="34"/>
    <x v="1"/>
    <x v="0"/>
    <x v="1"/>
    <x v="2"/>
    <x v="1"/>
  </r>
  <r>
    <n v="148"/>
    <n v="60"/>
    <x v="1"/>
    <x v="1"/>
    <x v="1"/>
    <x v="1"/>
    <x v="8"/>
  </r>
  <r>
    <n v="149"/>
    <n v="51"/>
    <x v="0"/>
    <x v="1"/>
    <x v="1"/>
    <x v="4"/>
    <x v="7"/>
  </r>
  <r>
    <n v="150"/>
    <n v="26"/>
    <x v="2"/>
    <x v="2"/>
    <x v="0"/>
    <x v="0"/>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MP-20"/>
    <x v="0"/>
    <n v="40433"/>
    <n v="88213"/>
    <n v="671"/>
    <n v="1378"/>
    <n v="19313"/>
    <n v="7.606588598052441E-3"/>
    <n v="2.0536512667660207"/>
    <n v="60.257824143070046"/>
    <n v="29.341799709724238"/>
    <n v="-0.52234560878490344"/>
    <n v="0.47765439121509656"/>
    <n v="21120"/>
  </r>
  <r>
    <s v="CMP-14"/>
    <x v="1"/>
    <n v="28197"/>
    <n v="127407"/>
    <n v="3731"/>
    <n v="543"/>
    <n v="67549"/>
    <n v="2.9284105268941266E-2"/>
    <n v="0.14553738943982847"/>
    <n v="7.5574912891986061"/>
    <n v="51.928176795580107"/>
    <n v="1.3956094619995034"/>
    <n v="2.3956094619995034"/>
    <n v="-39352"/>
  </r>
  <r>
    <s v="CMP-27"/>
    <x v="0"/>
    <n v="38400"/>
    <n v="159340"/>
    <n v="6272"/>
    <n v="869"/>
    <n v="24705"/>
    <n v="3.936236977532321E-2"/>
    <n v="0.13855229591836735"/>
    <n v="6.1224489795918364"/>
    <n v="44.188722669735327"/>
    <n v="-0.35664062499999999"/>
    <n v="0.64335937499999996"/>
    <n v="13695"/>
  </r>
  <r>
    <s v="CMP-29"/>
    <x v="1"/>
    <n v="8083"/>
    <n v="96269"/>
    <n v="9412"/>
    <n v="1830"/>
    <n v="68364"/>
    <n v="9.7767713386448393E-2"/>
    <n v="0.1944326391840204"/>
    <n v="0.85879728006799827"/>
    <n v="4.416939890710383"/>
    <n v="7.4577508350859834"/>
    <n v="8.4577508350859834"/>
    <n v="-60281"/>
  </r>
  <r>
    <s v="CMP-15"/>
    <x v="0"/>
    <n v="34328"/>
    <n v="70545"/>
    <n v="7277"/>
    <n v="1814"/>
    <n v="74445"/>
    <n v="0.1031540151676235"/>
    <n v="0.24927854885254913"/>
    <n v="4.7173285694654394"/>
    <n v="18.923925027563396"/>
    <n v="1.1686378466557912"/>
    <n v="2.1686378466557912"/>
    <n v="-40117"/>
  </r>
  <r>
    <s v="CMP-28"/>
    <x v="2"/>
    <n v="47891"/>
    <n v="49922"/>
    <n v="8533"/>
    <n v="1499"/>
    <n v="79645"/>
    <n v="0.17092664556708465"/>
    <n v="0.17567092464549397"/>
    <n v="5.6124457986640106"/>
    <n v="31.948632421614409"/>
    <n v="0.66304733666033289"/>
    <n v="1.6630473366603329"/>
    <n v="-31754"/>
  </r>
  <r>
    <s v="CMP-3"/>
    <x v="3"/>
    <n v="25103"/>
    <n v="52913"/>
    <n v="3997"/>
    <n v="779"/>
    <n v="3023"/>
    <n v="7.553909247254928E-2"/>
    <n v="0.19489617212909682"/>
    <n v="6.2804603452589438"/>
    <n v="32.224646983311935"/>
    <n v="-0.87957614627733738"/>
    <n v="0.12042385372266264"/>
    <n v="22080"/>
  </r>
  <r>
    <s v="CMP-8"/>
    <x v="2"/>
    <n v="44891"/>
    <n v="107033"/>
    <n v="8223"/>
    <n v="550"/>
    <n v="60796"/>
    <n v="7.6826773051301936E-2"/>
    <n v="6.6885564878997938E-2"/>
    <n v="5.4591998054238111"/>
    <n v="81.62"/>
    <n v="0.35430264418257557"/>
    <n v="1.3543026441825756"/>
    <n v="-15905"/>
  </r>
  <r>
    <s v="CMP-16"/>
    <x v="3"/>
    <n v="15754"/>
    <n v="114792"/>
    <n v="2379"/>
    <n v="222"/>
    <n v="65429"/>
    <n v="2.0724440727576836E-2"/>
    <n v="9.3316519546027737E-2"/>
    <n v="6.6221101303068517"/>
    <n v="70.963963963963963"/>
    <n v="3.1531674495366255"/>
    <n v="4.1531674495366255"/>
    <n v="-49675"/>
  </r>
  <r>
    <s v="CMP-10"/>
    <x v="3"/>
    <n v="39447"/>
    <n v="196749"/>
    <n v="9080"/>
    <n v="472"/>
    <n v="62627"/>
    <n v="4.6150171030094181E-2"/>
    <n v="5.1982378854625554E-2"/>
    <n v="4.3443832599118943"/>
    <n v="83.574152542372886"/>
    <n v="0.58762390042335289"/>
    <n v="1.5876239004233528"/>
    <n v="-23180"/>
  </r>
  <r>
    <s v="CMP-4"/>
    <x v="3"/>
    <n v="20901"/>
    <n v="190913"/>
    <n v="7551"/>
    <n v="445"/>
    <n v="34848"/>
    <n v="3.9552047267603571E-2"/>
    <n v="5.893259170970732E-2"/>
    <n v="2.7679777512912196"/>
    <n v="46.968539325842698"/>
    <n v="0.6672886464762452"/>
    <n v="1.6672886464762451"/>
    <n v="-13947"/>
  </r>
  <r>
    <s v="CMP-30"/>
    <x v="2"/>
    <n v="38004"/>
    <n v="187404"/>
    <n v="9006"/>
    <n v="292"/>
    <n v="38804"/>
    <n v="4.8056604981750656E-2"/>
    <n v="3.242282922496114E-2"/>
    <n v="4.2198534310459692"/>
    <n v="130.15068493150685"/>
    <n v="2.1050415745710978E-2"/>
    <n v="1.021050415745711"/>
    <n v="-800"/>
  </r>
  <r>
    <s v="CMP-18"/>
    <x v="3"/>
    <n v="12446"/>
    <n v="129863"/>
    <n v="875"/>
    <n v="1595"/>
    <n v="16379"/>
    <n v="6.7378699090580073E-3"/>
    <n v="1.822857142857143"/>
    <n v="14.224"/>
    <n v="7.8031347962382442"/>
    <n v="0.31600514221436604"/>
    <n v="1.3160051422143662"/>
    <n v="-3933"/>
  </r>
  <r>
    <s v="CMP-2"/>
    <x v="2"/>
    <n v="42211"/>
    <n v="166104"/>
    <n v="6969"/>
    <n v="1640"/>
    <n v="60664"/>
    <n v="4.1955642248230021E-2"/>
    <n v="0.23532788061414836"/>
    <n v="6.0569665662218393"/>
    <n v="25.738414634146341"/>
    <n v="0.43716092961550307"/>
    <n v="1.437160929615503"/>
    <n v="-18453"/>
  </r>
  <r>
    <s v="CMP-17"/>
    <x v="1"/>
    <n v="34301"/>
    <n v="178918"/>
    <n v="2347"/>
    <n v="1496"/>
    <n v="28766"/>
    <n v="1.3117741088096223E-2"/>
    <n v="0.63740945888368128"/>
    <n v="14.614827439284193"/>
    <n v="22.928475935828878"/>
    <n v="-0.16136555785545612"/>
    <n v="0.83863444214454386"/>
    <n v="5535"/>
  </r>
  <r>
    <s v="CMP-13"/>
    <x v="0"/>
    <n v="31116"/>
    <n v="54936"/>
    <n v="7188"/>
    <n v="1440"/>
    <n v="69099"/>
    <n v="0.13084316295325471"/>
    <n v="0.20033388981636061"/>
    <n v="4.328881469115192"/>
    <n v="21.608333333333334"/>
    <n v="1.220690320092557"/>
    <n v="2.2206903200925567"/>
    <n v="-37983"/>
  </r>
  <r>
    <s v="CMP-4"/>
    <x v="0"/>
    <n v="46323"/>
    <n v="170866"/>
    <n v="178"/>
    <n v="97"/>
    <n v="37060"/>
    <n v="1.0417520161998292E-3"/>
    <n v="0.5449438202247191"/>
    <n v="260.24157303370788"/>
    <n v="477.55670103092785"/>
    <n v="-0.19996545992271658"/>
    <n v="0.80003454007728347"/>
    <n v="9263"/>
  </r>
  <r>
    <s v="CMP-26"/>
    <x v="3"/>
    <n v="23752"/>
    <n v="191403"/>
    <n v="8180"/>
    <n v="1077"/>
    <n v="70122"/>
    <n v="4.2737052188314709E-2"/>
    <n v="0.13166259168704156"/>
    <n v="2.9036674816625916"/>
    <n v="22.053853296193129"/>
    <n v="1.9522566520714044"/>
    <n v="2.9522566520714046"/>
    <n v="-46370"/>
  </r>
  <r>
    <s v="CMP-25"/>
    <x v="2"/>
    <n v="37376"/>
    <n v="38141"/>
    <n v="7199"/>
    <n v="470"/>
    <n v="17087"/>
    <n v="0.18874701764505389"/>
    <n v="6.5286845395193777E-2"/>
    <n v="5.1918321989165159"/>
    <n v="79.52340425531915"/>
    <n v="-0.54283497431506844"/>
    <n v="0.4571650256849315"/>
    <n v="20289"/>
  </r>
  <r>
    <s v="CMP-30"/>
    <x v="0"/>
    <n v="21669"/>
    <n v="150146"/>
    <n v="4026"/>
    <n v="287"/>
    <n v="49868"/>
    <n v="2.6813901136227405E-2"/>
    <n v="7.1286636860407357E-2"/>
    <n v="5.3822652757078986"/>
    <n v="75.501742160278752"/>
    <n v="1.3013521620748534"/>
    <n v="2.3013521620748536"/>
    <n v="-28199"/>
  </r>
  <r>
    <s v="CMP-11"/>
    <x v="2"/>
    <n v="37916"/>
    <n v="147478"/>
    <n v="9147"/>
    <n v="1716"/>
    <n v="24225"/>
    <n v="6.2022810181857631E-2"/>
    <n v="0.18760249262053133"/>
    <n v="4.1451842134033017"/>
    <n v="22.095571095571096"/>
    <n v="-0.36108766747547211"/>
    <n v="0.63891233252452795"/>
    <n v="13691"/>
  </r>
  <r>
    <s v="CMP-7"/>
    <x v="2"/>
    <n v="18395"/>
    <n v="107359"/>
    <n v="7440"/>
    <n v="430"/>
    <n v="7643"/>
    <n v="6.9300198399761551E-2"/>
    <n v="5.779569892473118E-2"/>
    <n v="2.47244623655914"/>
    <n v="42.779069767441861"/>
    <n v="-0.58450665941832014"/>
    <n v="0.4154933405816798"/>
    <n v="10752"/>
  </r>
  <r>
    <s v="CMP-12"/>
    <x v="3"/>
    <n v="25421"/>
    <n v="133279"/>
    <n v="7183"/>
    <n v="1734"/>
    <n v="37727"/>
    <n v="5.3894461993262255E-2"/>
    <n v="0.24140331337881107"/>
    <n v="3.5390505359877489"/>
    <n v="14.660322952710496"/>
    <n v="0.48408795877424177"/>
    <n v="1.4840879587742417"/>
    <n v="-12306"/>
  </r>
  <r>
    <s v="CMP-10"/>
    <x v="0"/>
    <n v="31342"/>
    <n v="164363"/>
    <n v="6330"/>
    <n v="1386"/>
    <n v="12005"/>
    <n v="3.8512317249015895E-2"/>
    <n v="0.21895734597156399"/>
    <n v="4.9513428120063194"/>
    <n v="22.613275613275615"/>
    <n v="-0.61696764724650632"/>
    <n v="0.38303235275349373"/>
    <n v="19337"/>
  </r>
  <r>
    <s v="CMP-7"/>
    <x v="3"/>
    <n v="9895"/>
    <n v="51568"/>
    <n v="9323"/>
    <n v="705"/>
    <n v="66697"/>
    <n v="0.18079041265901336"/>
    <n v="7.5619435803925772E-2"/>
    <n v="1.0613536415316958"/>
    <n v="14.035460992907801"/>
    <n v="5.7404749873673575"/>
    <n v="6.7404749873673575"/>
    <n v="-56802"/>
  </r>
  <r>
    <s v="CMP-13"/>
    <x v="3"/>
    <n v="16023"/>
    <n v="107539"/>
    <n v="5040"/>
    <n v="524"/>
    <n v="17029"/>
    <n v="4.6866718120867776E-2"/>
    <n v="0.10396825396825397"/>
    <n v="3.1791666666666667"/>
    <n v="30.578244274809162"/>
    <n v="6.2784746926293447E-2"/>
    <n v="1.0627847469262934"/>
    <n v="-1006"/>
  </r>
  <r>
    <s v="CMP-7"/>
    <x v="0"/>
    <n v="15699"/>
    <n v="56851"/>
    <n v="3371"/>
    <n v="712"/>
    <n v="15226"/>
    <n v="5.9295351005259365E-2"/>
    <n v="0.21121328982497775"/>
    <n v="4.6570750519133792"/>
    <n v="22.049157303370787"/>
    <n v="-3.0129307599210141E-2"/>
    <n v="0.96987069240078982"/>
    <n v="473"/>
  </r>
  <r>
    <s v="CMP-24"/>
    <x v="0"/>
    <n v="14715"/>
    <n v="64823"/>
    <n v="3556"/>
    <n v="1663"/>
    <n v="64646"/>
    <n v="5.4857072335436498E-2"/>
    <n v="0.4676602924634421"/>
    <n v="4.1380764904386949"/>
    <n v="8.8484666265784728"/>
    <n v="3.3932042133876998"/>
    <n v="4.3932042133876994"/>
    <n v="-49931"/>
  </r>
  <r>
    <s v="CMP-17"/>
    <x v="1"/>
    <n v="24169"/>
    <n v="33312"/>
    <n v="7888"/>
    <n v="28"/>
    <n v="61603"/>
    <n v="0.23679154658981749"/>
    <n v="3.5496957403651115E-3"/>
    <n v="3.0640212981744424"/>
    <n v="863.17857142857144"/>
    <n v="1.5488435599321444"/>
    <n v="2.5488435599321444"/>
    <n v="-37434"/>
  </r>
  <r>
    <s v="CMP-10"/>
    <x v="1"/>
    <n v="21163"/>
    <n v="184180"/>
    <n v="8699"/>
    <n v="32"/>
    <n v="29731"/>
    <n v="4.7230969703550875E-2"/>
    <n v="3.6785837452580758E-3"/>
    <n v="2.4328083687780206"/>
    <n v="661.34375"/>
    <n v="0.40485753437603367"/>
    <n v="1.4048575343760337"/>
    <n v="-8568"/>
  </r>
  <r>
    <s v="CMP-29"/>
    <x v="2"/>
    <n v="10782"/>
    <n v="175243"/>
    <n v="7750"/>
    <n v="422"/>
    <n v="69926"/>
    <n v="4.4224305678400848E-2"/>
    <n v="5.4451612903225803E-2"/>
    <n v="1.391225806451613"/>
    <n v="25.549763033175356"/>
    <n v="5.4854386941198294"/>
    <n v="6.4854386941198294"/>
    <n v="-59144"/>
  </r>
  <r>
    <s v="CMP-10"/>
    <x v="0"/>
    <n v="27641"/>
    <n v="182851"/>
    <n v="2811"/>
    <n v="1063"/>
    <n v="6997"/>
    <n v="1.5373172692520139E-2"/>
    <n v="0.37815723941657775"/>
    <n v="9.8331554606901452"/>
    <n v="26.002822201317027"/>
    <n v="-0.74686154625375345"/>
    <n v="0.25313845374624649"/>
    <n v="20644"/>
  </r>
  <r>
    <s v="CMP-24"/>
    <x v="1"/>
    <n v="23792"/>
    <n v="108723"/>
    <n v="1768"/>
    <n v="1840"/>
    <n v="56506"/>
    <n v="1.6261508604435124E-2"/>
    <n v="1.0407239819004526"/>
    <n v="13.457013574660634"/>
    <n v="12.930434782608696"/>
    <n v="1.375"/>
    <n v="2.375"/>
    <n v="-32714"/>
  </r>
  <r>
    <s v="CMP-4"/>
    <x v="2"/>
    <n v="40585"/>
    <n v="22411"/>
    <n v="247"/>
    <n v="117"/>
    <n v="79229"/>
    <n v="1.1021373432689304E-2"/>
    <n v="0.47368421052631576"/>
    <n v="164.31174089068827"/>
    <n v="346.88034188034186"/>
    <n v="0.95217444868793888"/>
    <n v="1.9521744486879389"/>
    <n v="-38644"/>
  </r>
  <r>
    <s v="CMP-20"/>
    <x v="2"/>
    <n v="35682"/>
    <n v="67009"/>
    <n v="6520"/>
    <n v="1400"/>
    <n v="50815"/>
    <n v="9.7300362637854618E-2"/>
    <n v="0.21472392638036811"/>
    <n v="5.4726993865030673"/>
    <n v="25.487142857142857"/>
    <n v="0.42410739308334733"/>
    <n v="1.4241073930833474"/>
    <n v="-15133"/>
  </r>
  <r>
    <s v="CMP-4"/>
    <x v="2"/>
    <n v="23880"/>
    <n v="156494"/>
    <n v="465"/>
    <n v="1314"/>
    <n v="43092"/>
    <n v="2.9713599243421473E-3"/>
    <n v="2.8258064516129031"/>
    <n v="51.354838709677416"/>
    <n v="18.173515981735161"/>
    <n v="0.80452261306532669"/>
    <n v="1.8045226130653267"/>
    <n v="-19212"/>
  </r>
  <r>
    <s v="CMP-22"/>
    <x v="1"/>
    <n v="43067"/>
    <n v="183540"/>
    <n v="9966"/>
    <n v="1161"/>
    <n v="63539"/>
    <n v="5.429879045439686E-2"/>
    <n v="0.11649608669476219"/>
    <n v="4.3213927353000203"/>
    <n v="37.094745908699394"/>
    <n v="0.47535235795388581"/>
    <n v="1.4753523579538859"/>
    <n v="-20472"/>
  </r>
  <r>
    <s v="CMP-7"/>
    <x v="0"/>
    <n v="47685"/>
    <n v="42371"/>
    <n v="4631"/>
    <n v="1262"/>
    <n v="67077"/>
    <n v="0.10929645276250266"/>
    <n v="0.27251133664435329"/>
    <n v="10.296912114014251"/>
    <n v="37.78526148969889"/>
    <n v="0.40666876376218936"/>
    <n v="1.4066687637621893"/>
    <n v="-19392"/>
  </r>
  <r>
    <s v="CMP-22"/>
    <x v="3"/>
    <n v="23073"/>
    <n v="67022"/>
    <n v="5430"/>
    <n v="1144"/>
    <n v="22817"/>
    <n v="8.1018173137178837E-2"/>
    <n v="0.21068139963167587"/>
    <n v="4.2491712707182323"/>
    <n v="20.168706293706293"/>
    <n v="-1.1095219520651844E-2"/>
    <n v="0.98890478047934816"/>
    <n v="256"/>
  </r>
  <r>
    <s v="CMP-1"/>
    <x v="2"/>
    <n v="41035"/>
    <n v="81229"/>
    <n v="5610"/>
    <n v="145"/>
    <n v="38861"/>
    <n v="6.9064004234940718E-2"/>
    <n v="2.5846702317290554E-2"/>
    <n v="7.3146167557932262"/>
    <n v="283"/>
    <n v="-5.2979164128183258E-2"/>
    <n v="0.94702083587181674"/>
    <n v="2174"/>
  </r>
  <r>
    <s v="CMP-12"/>
    <x v="1"/>
    <n v="42174"/>
    <n v="109071"/>
    <n v="8854"/>
    <n v="371"/>
    <n v="14428"/>
    <n v="8.1176481374517523E-2"/>
    <n v="4.1901965213462844E-2"/>
    <n v="4.7632708380393041"/>
    <n v="113.67654986522911"/>
    <n v="-0.65789348887940435"/>
    <n v="0.34210651112059565"/>
    <n v="27746"/>
  </r>
  <r>
    <s v="CMP-24"/>
    <x v="1"/>
    <n v="29837"/>
    <n v="192268"/>
    <n v="9064"/>
    <n v="1219"/>
    <n v="44934"/>
    <n v="4.7142530218237041E-2"/>
    <n v="0.13448808473080318"/>
    <n v="3.2918137687555165"/>
    <n v="24.476620180475798"/>
    <n v="0.50598250494352648"/>
    <n v="1.5059825049435265"/>
    <n v="-15097"/>
  </r>
  <r>
    <s v="CMP-13"/>
    <x v="3"/>
    <n v="22826"/>
    <n v="106774"/>
    <n v="6593"/>
    <n v="1689"/>
    <n v="11258"/>
    <n v="6.1747241837900611E-2"/>
    <n v="0.25618079781586534"/>
    <n v="3.4621568330047019"/>
    <n v="13.514505624629958"/>
    <n v="-0.50679050205905551"/>
    <n v="0.49320949794094454"/>
    <n v="11568"/>
  </r>
  <r>
    <s v="CMP-10"/>
    <x v="3"/>
    <n v="29981"/>
    <n v="36715"/>
    <n v="5539"/>
    <n v="1617"/>
    <n v="58775"/>
    <n v="0.15086476916791502"/>
    <n v="0.29192995125473914"/>
    <n v="5.4127098754287779"/>
    <n v="18.541125541125542"/>
    <n v="0.960408258563757"/>
    <n v="1.960408258563757"/>
    <n v="-28794"/>
  </r>
  <r>
    <s v="CMP-15"/>
    <x v="1"/>
    <n v="15382"/>
    <n v="37605"/>
    <n v="9865"/>
    <n v="138"/>
    <n v="6469"/>
    <n v="0.26233213668395161"/>
    <n v="1.398884946781551E-2"/>
    <n v="1.5592498732894069"/>
    <n v="111.46376811594203"/>
    <n v="-0.57944350539591727"/>
    <n v="0.42055649460408268"/>
    <n v="8913"/>
  </r>
  <r>
    <s v="CMP-27"/>
    <x v="0"/>
    <n v="9437"/>
    <n v="109853"/>
    <n v="6611"/>
    <n v="1909"/>
    <n v="29854"/>
    <n v="6.0180422928823064E-2"/>
    <n v="0.28876115564967481"/>
    <n v="1.4274693692330964"/>
    <n v="4.943425877422734"/>
    <n v="2.1635053512768887"/>
    <n v="3.1635053512768887"/>
    <n v="-20417"/>
  </r>
  <r>
    <s v="CMP-13"/>
    <x v="3"/>
    <n v="10435"/>
    <n v="41174"/>
    <n v="7604"/>
    <n v="1294"/>
    <n v="7256"/>
    <n v="0.18467965220770388"/>
    <n v="0.17017359284587061"/>
    <n v="1.372304050499737"/>
    <n v="8.0641421947449761"/>
    <n v="-0.30464781983708672"/>
    <n v="0.69535218016291322"/>
    <n v="3179"/>
  </r>
  <r>
    <s v="CMP-23"/>
    <x v="1"/>
    <n v="29819"/>
    <n v="151028"/>
    <n v="1346"/>
    <n v="524"/>
    <n v="77256"/>
    <n v="8.9122546812511593E-3"/>
    <n v="0.38930163447251115"/>
    <n v="22.153789004457654"/>
    <n v="56.906488549618324"/>
    <n v="1.5908313491398103"/>
    <n v="2.5908313491398101"/>
    <n v="-47437"/>
  </r>
  <r>
    <s v="CMP-22"/>
    <x v="3"/>
    <n v="41875"/>
    <n v="86373"/>
    <n v="3939"/>
    <n v="458"/>
    <n v="34937"/>
    <n v="4.5604529193150639E-2"/>
    <n v="0.11627316577811628"/>
    <n v="10.630870779385631"/>
    <n v="91.430131004366814"/>
    <n v="-0.16568358208955225"/>
    <n v="0.83431641791044775"/>
    <n v="6938"/>
  </r>
  <r>
    <s v="CMP-22"/>
    <x v="0"/>
    <n v="36982"/>
    <n v="79252"/>
    <n v="8651"/>
    <n v="1933"/>
    <n v="2651"/>
    <n v="0.10915812850148893"/>
    <n v="0.22344237660386082"/>
    <n v="4.2748815165876781"/>
    <n v="19.131919296430418"/>
    <n v="-0.92831647828673414"/>
    <n v="7.1683521713265919E-2"/>
    <n v="34331"/>
  </r>
  <r>
    <s v="CMP-21"/>
    <x v="2"/>
    <n v="38328"/>
    <n v="80017"/>
    <n v="2476"/>
    <n v="1137"/>
    <n v="51288"/>
    <n v="3.0943424522289015E-2"/>
    <n v="0.45920840064620355"/>
    <n v="15.479806138933764"/>
    <n v="33.709762532981529"/>
    <n v="0.33813400125234816"/>
    <n v="1.3381340012523482"/>
    <n v="-12960"/>
  </r>
  <r>
    <s v="CMP-22"/>
    <x v="3"/>
    <n v="17329"/>
    <n v="73037"/>
    <n v="3109"/>
    <n v="1516"/>
    <n v="26051"/>
    <n v="4.2567465805002945E-2"/>
    <n v="0.48761659697651977"/>
    <n v="5.5738179478932128"/>
    <n v="11.430738786279683"/>
    <n v="0.50331813722661434"/>
    <n v="1.5033181372266144"/>
    <n v="-8722"/>
  </r>
  <r>
    <s v="CMP-28"/>
    <x v="0"/>
    <n v="30169"/>
    <n v="99818"/>
    <n v="9254"/>
    <n v="1257"/>
    <n v="28386"/>
    <n v="9.2708729888396887E-2"/>
    <n v="0.13583315323103523"/>
    <n v="3.2601037389237089"/>
    <n v="24.000795544948289"/>
    <n v="-5.9100401073950079E-2"/>
    <n v="0.94089959892604991"/>
    <n v="1783"/>
  </r>
  <r>
    <s v="CMP-9"/>
    <x v="1"/>
    <n v="26932"/>
    <n v="16548"/>
    <n v="1927"/>
    <n v="1865"/>
    <n v="76054"/>
    <n v="0.11644911771815325"/>
    <n v="0.96782563570316549"/>
    <n v="13.976128697457188"/>
    <n v="14.440750670241286"/>
    <n v="1.8239269270755978"/>
    <n v="2.8239269270755978"/>
    <n v="-49122"/>
  </r>
  <r>
    <s v="CMP-26"/>
    <x v="3"/>
    <n v="39594"/>
    <n v="126981"/>
    <n v="7079"/>
    <n v="883"/>
    <n v="17184"/>
    <n v="5.5748497806758494E-2"/>
    <n v="0.12473513208080238"/>
    <n v="5.5931628761124452"/>
    <n v="44.840317100792753"/>
    <n v="-0.56599484770419761"/>
    <n v="0.43400515229580239"/>
    <n v="22410"/>
  </r>
  <r>
    <s v="CMP-9"/>
    <x v="3"/>
    <n v="16421"/>
    <n v="164249"/>
    <n v="9905"/>
    <n v="1899"/>
    <n v="34787"/>
    <n v="6.0304781155440822E-2"/>
    <n v="0.19172135285209491"/>
    <n v="1.6578495709237759"/>
    <n v="8.6471827277514475"/>
    <n v="1.1184458924547835"/>
    <n v="2.1184458924547833"/>
    <n v="-18366"/>
  </r>
  <r>
    <s v="CMP-15"/>
    <x v="1"/>
    <n v="12629"/>
    <n v="34022"/>
    <n v="9932"/>
    <n v="1524"/>
    <n v="22621"/>
    <n v="0.29192875198401036"/>
    <n v="0.15344341522351992"/>
    <n v="1.2715465163109143"/>
    <n v="8.2867454068241475"/>
    <n v="0.79119486895241109"/>
    <n v="1.7911948689524111"/>
    <n v="-9992"/>
  </r>
  <r>
    <s v="CMP-10"/>
    <x v="2"/>
    <n v="13325"/>
    <n v="116297"/>
    <n v="8669"/>
    <n v="482"/>
    <n v="76564"/>
    <n v="7.4541905638150593E-2"/>
    <n v="5.5600415272811163E-2"/>
    <n v="1.5370861691083171"/>
    <n v="27.645228215767634"/>
    <n v="4.7458911819887426"/>
    <n v="5.7458911819887426"/>
    <n v="-63239"/>
  </r>
  <r>
    <s v="CMP-24"/>
    <x v="1"/>
    <n v="33495"/>
    <n v="146614"/>
    <n v="4385"/>
    <n v="1043"/>
    <n v="78984"/>
    <n v="2.9908467131378996E-2"/>
    <n v="0.2378563283922463"/>
    <n v="7.6385404789053588"/>
    <n v="32.114093959731541"/>
    <n v="1.3580832960143305"/>
    <n v="2.3580832960143305"/>
    <n v="-45489"/>
  </r>
  <r>
    <s v="CMP-26"/>
    <x v="3"/>
    <n v="36750"/>
    <n v="70428"/>
    <n v="7010"/>
    <n v="1438"/>
    <n v="60792"/>
    <n v="9.9534276140171518E-2"/>
    <n v="0.20513552068473609"/>
    <n v="5.2425106990014267"/>
    <n v="25.556328233657858"/>
    <n v="0.65420408163265309"/>
    <n v="1.6542040816326531"/>
    <n v="-24042"/>
  </r>
  <r>
    <s v="CMP-25"/>
    <x v="1"/>
    <n v="34619"/>
    <n v="163812"/>
    <n v="8661"/>
    <n v="1929"/>
    <n v="46253"/>
    <n v="5.2871584499304083E-2"/>
    <n v="0.22272254935919639"/>
    <n v="3.9971134972866875"/>
    <n v="17.946604458268531"/>
    <n v="0.33605823391779083"/>
    <n v="1.3360582339177909"/>
    <n v="-11634"/>
  </r>
  <r>
    <s v="CMP-29"/>
    <x v="0"/>
    <n v="45461"/>
    <n v="69353"/>
    <n v="2296"/>
    <n v="311"/>
    <n v="35051"/>
    <n v="3.3105993972863464E-2"/>
    <n v="0.13545296167247386"/>
    <n v="19.800087108013937"/>
    <n v="146.17684887459808"/>
    <n v="-0.22898748377730363"/>
    <n v="0.7710125162226964"/>
    <n v="10410"/>
  </r>
  <r>
    <s v="CMP-10"/>
    <x v="1"/>
    <n v="13264"/>
    <n v="123132"/>
    <n v="3847"/>
    <n v="240"/>
    <n v="50811"/>
    <n v="3.1242893805022251E-2"/>
    <n v="6.2386275019495709E-2"/>
    <n v="3.447881466077463"/>
    <n v="55.266666666666666"/>
    <n v="2.8307448733413754"/>
    <n v="3.8307448733413754"/>
    <n v="-37547"/>
  </r>
  <r>
    <s v="CMP-8"/>
    <x v="3"/>
    <n v="17686"/>
    <n v="197604"/>
    <n v="8943"/>
    <n v="1764"/>
    <n v="31447"/>
    <n v="4.5257181028724114E-2"/>
    <n v="0.19724924521972492"/>
    <n v="1.9776361399977636"/>
    <n v="10.026077097505668"/>
    <n v="0.77807305213162958"/>
    <n v="1.7780730521316295"/>
    <n v="-13761"/>
  </r>
  <r>
    <s v="CMP-24"/>
    <x v="1"/>
    <n v="29226"/>
    <n v="26052"/>
    <n v="6078"/>
    <n v="932"/>
    <n v="31254"/>
    <n v="0.23330262551819439"/>
    <n v="0.15333991444554129"/>
    <n v="4.8084896347482724"/>
    <n v="31.358369098712448"/>
    <n v="6.9390268938616301E-2"/>
    <n v="1.0693902689386163"/>
    <n v="-2028"/>
  </r>
  <r>
    <s v="CMP-16"/>
    <x v="2"/>
    <n v="11721"/>
    <n v="110689"/>
    <n v="5707"/>
    <n v="1099"/>
    <n v="58418"/>
    <n v="5.1558872155318056E-2"/>
    <n v="0.19257052742246364"/>
    <n v="2.0537935868231996"/>
    <n v="10.665150136487716"/>
    <n v="3.9840457298865286"/>
    <n v="4.9840457298865282"/>
    <n v="-46697"/>
  </r>
  <r>
    <s v="CMP-17"/>
    <x v="1"/>
    <n v="25609"/>
    <n v="188148"/>
    <n v="869"/>
    <n v="946"/>
    <n v="15472"/>
    <n v="4.6187044241767124E-3"/>
    <n v="1.0886075949367089"/>
    <n v="29.469505178365939"/>
    <n v="27.070824524312897"/>
    <n v="-0.39583740091374126"/>
    <n v="0.60416259908625869"/>
    <n v="10137"/>
  </r>
  <r>
    <s v="CMP-26"/>
    <x v="2"/>
    <n v="12373"/>
    <n v="194492"/>
    <n v="880"/>
    <n v="121"/>
    <n v="4471"/>
    <n v="4.524607695946363E-3"/>
    <n v="0.13750000000000001"/>
    <n v="14.060227272727273"/>
    <n v="102.25619834710744"/>
    <n v="-0.63864867049220075"/>
    <n v="0.36135132950779925"/>
    <n v="7902"/>
  </r>
  <r>
    <s v="CMP-27"/>
    <x v="0"/>
    <n v="43675"/>
    <n v="141743"/>
    <n v="6403"/>
    <n v="1046"/>
    <n v="9329"/>
    <n v="4.5173306618316249E-2"/>
    <n v="0.16336092456660939"/>
    <n v="6.8210213962205213"/>
    <n v="41.754302103250481"/>
    <n v="-0.78639954207212359"/>
    <n v="0.21360045792787635"/>
    <n v="34346"/>
  </r>
  <r>
    <s v="CMP-5"/>
    <x v="2"/>
    <n v="33937"/>
    <n v="10163"/>
    <n v="4083"/>
    <n v="1426"/>
    <n v="35865"/>
    <n v="0.40175145134310736"/>
    <n v="0.34925300024491795"/>
    <n v="8.3117805535145735"/>
    <n v="23.79873772791024"/>
    <n v="5.681115007219259E-2"/>
    <n v="1.0568111500721926"/>
    <n v="-1928"/>
  </r>
  <r>
    <s v="CMP-4"/>
    <x v="1"/>
    <n v="10656"/>
    <n v="51424"/>
    <n v="9603"/>
    <n v="509"/>
    <n v="47850"/>
    <n v="0.18674159925326694"/>
    <n v="5.300426949911486E-2"/>
    <n v="1.1096532333645737"/>
    <n v="20.93516699410609"/>
    <n v="3.4904279279279278"/>
    <n v="4.4904279279279278"/>
    <n v="-37194"/>
  </r>
  <r>
    <s v="CMP-18"/>
    <x v="3"/>
    <n v="13984"/>
    <n v="194816"/>
    <n v="8814"/>
    <n v="941"/>
    <n v="55220"/>
    <n v="4.5242690538764785E-2"/>
    <n v="0.106761969593828"/>
    <n v="1.5865668255048786"/>
    <n v="14.860786397449521"/>
    <n v="2.9487986270022883"/>
    <n v="3.9487986270022883"/>
    <n v="-41236"/>
  </r>
  <r>
    <s v="CMP-24"/>
    <x v="2"/>
    <n v="34984"/>
    <n v="151706"/>
    <n v="621"/>
    <n v="607"/>
    <n v="7397"/>
    <n v="4.0934438980659961E-3"/>
    <n v="0.97745571658615138"/>
    <n v="56.334943639291467"/>
    <n v="57.634266886326195"/>
    <n v="-0.7885604847930483"/>
    <n v="0.21143951520695176"/>
    <n v="27587"/>
  </r>
  <r>
    <s v="CMP-19"/>
    <x v="0"/>
    <n v="13286"/>
    <n v="145870"/>
    <n v="9227"/>
    <n v="243"/>
    <n v="36525"/>
    <n v="6.3254953040378425E-2"/>
    <n v="2.6335753766121166E-2"/>
    <n v="1.439904627722987"/>
    <n v="54.674897119341566"/>
    <n v="1.7491344272166189"/>
    <n v="2.7491344272166192"/>
    <n v="-23239"/>
  </r>
  <r>
    <s v="CMP-4"/>
    <x v="2"/>
    <n v="10901"/>
    <n v="32420"/>
    <n v="7669"/>
    <n v="611"/>
    <n v="54072"/>
    <n v="0.23655151141270819"/>
    <n v="7.9671404355196249E-2"/>
    <n v="1.4214369539705307"/>
    <n v="17.841243862520457"/>
    <n v="3.960278873497844"/>
    <n v="4.9602788734978445"/>
    <n v="-43171"/>
  </r>
  <r>
    <s v="CMP-28"/>
    <x v="2"/>
    <n v="36552"/>
    <n v="130575"/>
    <n v="5884"/>
    <n v="323"/>
    <n v="24284"/>
    <n v="4.5062224775033508E-2"/>
    <n v="5.4894629503738954E-2"/>
    <n v="6.2121006118286877"/>
    <n v="113.16408668730651"/>
    <n v="-0.33563142919676076"/>
    <n v="0.66436857080323919"/>
    <n v="12268"/>
  </r>
  <r>
    <s v="CMP-7"/>
    <x v="2"/>
    <n v="30709"/>
    <n v="39300"/>
    <n v="4683"/>
    <n v="575"/>
    <n v="62330"/>
    <n v="0.11916030534351145"/>
    <n v="0.12278453982489856"/>
    <n v="6.5575485799701045"/>
    <n v="53.406956521739133"/>
    <n v="1.0296981340974958"/>
    <n v="2.029698134097496"/>
    <n v="-31621"/>
  </r>
  <r>
    <s v="CMP-10"/>
    <x v="0"/>
    <n v="36055"/>
    <n v="99881"/>
    <n v="6046"/>
    <n v="1045"/>
    <n v="26122"/>
    <n v="6.0532033119412097E-2"/>
    <n v="0.1728415481309957"/>
    <n v="5.9634469070459808"/>
    <n v="34.502392344497608"/>
    <n v="-0.27549577035085288"/>
    <n v="0.72450422964914718"/>
    <n v="9933"/>
  </r>
  <r>
    <s v="CMP-25"/>
    <x v="1"/>
    <n v="42685"/>
    <n v="20749"/>
    <n v="5041"/>
    <n v="218"/>
    <n v="71553"/>
    <n v="0.24295146754060437"/>
    <n v="4.324538781987701E-2"/>
    <n v="8.4675659591350918"/>
    <n v="195.80275229357798"/>
    <n v="0.67630315098980909"/>
    <n v="1.676303150989809"/>
    <n v="-28868"/>
  </r>
  <r>
    <s v="CMP-18"/>
    <x v="2"/>
    <n v="13429"/>
    <n v="114131"/>
    <n v="6367"/>
    <n v="1047"/>
    <n v="63812"/>
    <n v="5.5786771341703831E-2"/>
    <n v="0.16444165226951468"/>
    <n v="2.1091565886602797"/>
    <n v="12.826170009551099"/>
    <n v="3.7518057934321245"/>
    <n v="4.7518057934321245"/>
    <n v="-50383"/>
  </r>
  <r>
    <s v="CMP-19"/>
    <x v="2"/>
    <n v="19716"/>
    <n v="166193"/>
    <n v="7228"/>
    <n v="1666"/>
    <n v="8999"/>
    <n v="4.3491603136112833E-2"/>
    <n v="0.23049252905368015"/>
    <n v="2.7277255118981736"/>
    <n v="11.834333733493397"/>
    <n v="-0.54356867518766483"/>
    <n v="0.45643132481233517"/>
    <n v="10717"/>
  </r>
  <r>
    <s v="CMP-4"/>
    <x v="3"/>
    <n v="16138"/>
    <n v="138563"/>
    <n v="2561"/>
    <n v="1451"/>
    <n v="23436"/>
    <n v="1.8482567496373489E-2"/>
    <n v="0.56657555642327218"/>
    <n v="6.301444748145256"/>
    <n v="11.12198483804273"/>
    <n v="0.45222456314289255"/>
    <n v="1.4522245631428925"/>
    <n v="-7298"/>
  </r>
  <r>
    <s v="CMP-10"/>
    <x v="0"/>
    <n v="40298"/>
    <n v="47487"/>
    <n v="785"/>
    <n v="1470"/>
    <n v="43963"/>
    <n v="1.6530840019373723E-2"/>
    <n v="1.8726114649681529"/>
    <n v="51.335031847133756"/>
    <n v="27.41360544217687"/>
    <n v="9.0947441560375208E-2"/>
    <n v="1.0909474415603753"/>
    <n v="-3665"/>
  </r>
  <r>
    <s v="CMP-1"/>
    <x v="2"/>
    <n v="28429"/>
    <n v="174433"/>
    <n v="2260"/>
    <n v="1410"/>
    <n v="3096"/>
    <n v="1.2956264009677068E-2"/>
    <n v="0.62389380530973448"/>
    <n v="12.579203539823009"/>
    <n v="20.162411347517729"/>
    <n v="-0.89109711913890743"/>
    <n v="0.10890288086109255"/>
    <n v="25333"/>
  </r>
  <r>
    <s v="CMP-23"/>
    <x v="0"/>
    <n v="10772"/>
    <n v="31223"/>
    <n v="7131"/>
    <n v="1053"/>
    <n v="26279"/>
    <n v="0.22838932837972009"/>
    <n v="0.14766512410601598"/>
    <n v="1.5105875753751228"/>
    <n v="10.229819563152896"/>
    <n v="1.4395655402896399"/>
    <n v="2.4395655402896397"/>
    <n v="-15507"/>
  </r>
  <r>
    <s v="CMP-18"/>
    <x v="2"/>
    <n v="40732"/>
    <n v="82930"/>
    <n v="9859"/>
    <n v="596"/>
    <n v="27201"/>
    <n v="0.11888339563487278"/>
    <n v="6.0452378537377019E-2"/>
    <n v="4.1314534942691958"/>
    <n v="68.34228187919463"/>
    <n v="-0.33219581655700675"/>
    <n v="0.66780418344299319"/>
    <n v="13531"/>
  </r>
  <r>
    <s v="CMP-5"/>
    <x v="1"/>
    <n v="44905"/>
    <n v="155128"/>
    <n v="5441"/>
    <n v="1945"/>
    <n v="20715"/>
    <n v="3.5074261255221492E-2"/>
    <n v="0.35747105311523619"/>
    <n v="8.2530784782209157"/>
    <n v="23.087403598971722"/>
    <n v="-0.53869279590246077"/>
    <n v="0.46130720409753923"/>
    <n v="24190"/>
  </r>
  <r>
    <s v="CMP-15"/>
    <x v="1"/>
    <n v="22347"/>
    <n v="38380"/>
    <n v="138"/>
    <n v="1788"/>
    <n v="30309"/>
    <n v="3.5956227201667536E-3"/>
    <n v="12.956521739130435"/>
    <n v="161.93478260869566"/>
    <n v="12.498322147651006"/>
    <n v="0.35628943482346626"/>
    <n v="1.3562894348234662"/>
    <n v="-7962"/>
  </r>
  <r>
    <s v="CMP-17"/>
    <x v="2"/>
    <n v="21920"/>
    <n v="36035"/>
    <n v="4975"/>
    <n v="1768"/>
    <n v="16078"/>
    <n v="0.13806021923130291"/>
    <n v="0.35537688442211057"/>
    <n v="4.4060301507537689"/>
    <n v="12.398190045248869"/>
    <n v="-0.26651459854014597"/>
    <n v="0.73348540145985397"/>
    <n v="5842"/>
  </r>
  <r>
    <s v="CMP-3"/>
    <x v="1"/>
    <n v="36822"/>
    <n v="40620"/>
    <n v="1356"/>
    <n v="1024"/>
    <n v="57614"/>
    <n v="3.3382570162481535E-2"/>
    <n v="0.75516224188790559"/>
    <n v="27.154867256637168"/>
    <n v="35.958984375"/>
    <n v="0.56466243006898054"/>
    <n v="1.5646624300689804"/>
    <n v="-20792"/>
  </r>
  <r>
    <s v="CMP-12"/>
    <x v="2"/>
    <n v="45108"/>
    <n v="160949"/>
    <n v="7797"/>
    <n v="1103"/>
    <n v="6105"/>
    <n v="4.8443917017191779E-2"/>
    <n v="0.14146466589713994"/>
    <n v="5.7853020392458641"/>
    <n v="40.89573889392566"/>
    <n v="-0.864658153764299"/>
    <n v="0.13534184623570097"/>
    <n v="39003"/>
  </r>
  <r>
    <s v="CMP-2"/>
    <x v="1"/>
    <n v="28563"/>
    <n v="196388"/>
    <n v="2296"/>
    <n v="1857"/>
    <n v="3839"/>
    <n v="1.1691142024970977E-2"/>
    <n v="0.80879790940766549"/>
    <n v="12.440331010452962"/>
    <n v="15.381260096930534"/>
    <n v="-0.8655953506284354"/>
    <n v="0.1344046493715646"/>
    <n v="24724"/>
  </r>
  <r>
    <s v="CMP-1"/>
    <x v="3"/>
    <n v="12967"/>
    <n v="127360"/>
    <n v="7265"/>
    <n v="1244"/>
    <n v="69920"/>
    <n v="5.7043027638190955E-2"/>
    <n v="0.17123193392980041"/>
    <n v="1.7848589125946317"/>
    <n v="10.42363344051447"/>
    <n v="4.3921493020744968"/>
    <n v="5.3921493020744968"/>
    <n v="-56953"/>
  </r>
  <r>
    <s v="CMP-23"/>
    <x v="3"/>
    <n v="16871"/>
    <n v="63352"/>
    <n v="401"/>
    <n v="1134"/>
    <n v="44619"/>
    <n v="6.3297133476449049E-3"/>
    <n v="2.827930174563591"/>
    <n v="42.072319201995015"/>
    <n v="14.87742504409171"/>
    <n v="1.6447157844822475"/>
    <n v="2.6447157844822478"/>
    <n v="-27748"/>
  </r>
  <r>
    <s v="CMP-21"/>
    <x v="3"/>
    <n v="33763"/>
    <n v="171983"/>
    <n v="7627"/>
    <n v="707"/>
    <n v="43821"/>
    <n v="4.4347406429705263E-2"/>
    <n v="9.2696997508850132E-2"/>
    <n v="4.426773305362528"/>
    <n v="47.755304101838753"/>
    <n v="0.29790006812190861"/>
    <n v="1.2979000681219086"/>
    <n v="-10058"/>
  </r>
  <r>
    <s v="CMP-17"/>
    <x v="0"/>
    <n v="16916"/>
    <n v="173856"/>
    <n v="6481"/>
    <n v="141"/>
    <n v="14493"/>
    <n v="3.7277977176513898E-2"/>
    <n v="2.1755901866995834E-2"/>
    <n v="2.6100910353340532"/>
    <n v="119.97163120567376"/>
    <n v="-0.14323717190825255"/>
    <n v="0.85676282809174742"/>
    <n v="2423"/>
  </r>
  <r>
    <s v="CMP-22"/>
    <x v="0"/>
    <n v="13734"/>
    <n v="13191"/>
    <n v="746"/>
    <n v="1656"/>
    <n v="18069"/>
    <n v="5.6553710863467513E-2"/>
    <n v="2.219839142091153"/>
    <n v="18.410187667560322"/>
    <n v="8.2934782608695645"/>
    <n v="0.31564001747487985"/>
    <n v="1.3156400174748799"/>
    <n v="-4335"/>
  </r>
  <r>
    <s v="CMP-16"/>
    <x v="3"/>
    <n v="38613"/>
    <n v="174232"/>
    <n v="8889"/>
    <n v="1414"/>
    <n v="8531"/>
    <n v="5.1018182653014374E-2"/>
    <n v="0.15907301158735515"/>
    <n v="4.3439082011474852"/>
    <n v="27.307637906647809"/>
    <n v="-0.77906404578768806"/>
    <n v="0.22093595421231191"/>
    <n v="30082"/>
  </r>
  <r>
    <s v="CMP-5"/>
    <x v="0"/>
    <n v="33179"/>
    <n v="100536"/>
    <n v="8953"/>
    <n v="1165"/>
    <n v="38051"/>
    <n v="8.9052677647807749E-2"/>
    <n v="0.13012398078856249"/>
    <n v="3.7059086339774376"/>
    <n v="28.479828326180257"/>
    <n v="0.14683986859157902"/>
    <n v="1.146839868591579"/>
    <n v="-4872"/>
  </r>
  <r>
    <s v="CMP-15"/>
    <x v="1"/>
    <n v="40262"/>
    <n v="114576"/>
    <n v="4430"/>
    <n v="1053"/>
    <n v="8736"/>
    <n v="3.8664292696550764E-2"/>
    <n v="0.23769751693002258"/>
    <n v="9.0884875846501121"/>
    <n v="38.235517568850902"/>
    <n v="-0.78302121106750777"/>
    <n v="0.21697878893249217"/>
    <n v="315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AB3148-E979-4080-B781-F5A86E5E2DDA}"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19:L20" firstHeaderRow="1" firstDataRow="1" firstDataCol="0"/>
  <pivotFields count="13">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5">
        <item x="0"/>
        <item x="2"/>
        <item x="3"/>
        <item x="1"/>
        <item t="default"/>
      </items>
    </pivotField>
    <pivotField showAll="0">
      <items count="6">
        <item x="0"/>
        <item x="4"/>
        <item x="3"/>
        <item x="1"/>
        <item x="2"/>
        <item t="default"/>
      </items>
    </pivotField>
    <pivotField showAll="0">
      <items count="5">
        <item x="2"/>
        <item x="1"/>
        <item x="3"/>
        <item x="0"/>
        <item t="default"/>
      </items>
    </pivotField>
    <pivotField numFmtId="1" showAll="0"/>
    <pivotField dataField="1" numFmtId="164" showAll="0"/>
    <pivotField numFmtId="164" showAll="0"/>
    <pivotField numFmtId="164" showAll="0"/>
    <pivotField showAll="0"/>
    <pivotField showAll="0"/>
    <pivotField showAll="0"/>
    <pivotField numFmtId="10" showAll="0"/>
    <pivotField numFmtId="1" showAll="0"/>
  </pivotFields>
  <rowItems count="1">
    <i/>
  </rowItems>
  <colItems count="1">
    <i/>
  </colItems>
  <dataFields count="1">
    <dataField name="Avg Sales per Transaction"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DB197D-A79C-46A7-A3DF-37D4DE373FAC}"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Sales Rep">
  <location ref="V46:W52" firstHeaderRow="1" firstDataRow="1" firstDataCol="1"/>
  <pivotFields count="13">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5">
        <item x="0"/>
        <item x="2"/>
        <item x="3"/>
        <item x="1"/>
        <item t="default"/>
      </items>
    </pivotField>
    <pivotField axis="axisRow" showAll="0" sortType="descending">
      <items count="6">
        <item x="0"/>
        <item x="4"/>
        <item x="3"/>
        <item x="1"/>
        <item x="2"/>
        <item t="default"/>
      </items>
      <autoSortScope>
        <pivotArea dataOnly="0" outline="0" fieldPosition="0">
          <references count="1">
            <reference field="4294967294" count="1" selected="0">
              <x v="0"/>
            </reference>
          </references>
        </pivotArea>
      </autoSortScope>
    </pivotField>
    <pivotField dataField="1" showAll="0">
      <items count="5">
        <item x="2"/>
        <item x="1"/>
        <item x="3"/>
        <item x="0"/>
        <item t="default"/>
      </items>
    </pivotField>
    <pivotField numFmtId="1" showAll="0"/>
    <pivotField numFmtId="164" showAll="0"/>
    <pivotField numFmtId="164" showAll="0"/>
    <pivotField numFmtId="164" showAll="0"/>
    <pivotField showAll="0"/>
    <pivotField showAll="0"/>
    <pivotField showAll="0"/>
    <pivotField numFmtId="10" showAll="0"/>
    <pivotField numFmtId="1" showAll="0"/>
  </pivotFields>
  <rowFields count="1">
    <field x="2"/>
  </rowFields>
  <rowItems count="6">
    <i>
      <x/>
    </i>
    <i>
      <x v="3"/>
    </i>
    <i>
      <x v="2"/>
    </i>
    <i>
      <x v="4"/>
    </i>
    <i>
      <x v="1"/>
    </i>
    <i t="grand">
      <x/>
    </i>
  </rowItems>
  <colItems count="1">
    <i/>
  </colItems>
  <dataFields count="1">
    <dataField name="Number of Product Category sold" fld="3" subtotal="count" baseField="2" baseItem="0"/>
  </dataFields>
  <chartFormats count="6">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2" count="1" selected="0">
            <x v="0"/>
          </reference>
        </references>
      </pivotArea>
    </chartFormat>
    <chartFormat chart="10" format="9">
      <pivotArea type="data" outline="0" fieldPosition="0">
        <references count="2">
          <reference field="4294967294" count="1" selected="0">
            <x v="0"/>
          </reference>
          <reference field="2" count="1" selected="0">
            <x v="3"/>
          </reference>
        </references>
      </pivotArea>
    </chartFormat>
    <chartFormat chart="10" format="10">
      <pivotArea type="data" outline="0" fieldPosition="0">
        <references count="2">
          <reference field="4294967294" count="1" selected="0">
            <x v="0"/>
          </reference>
          <reference field="2" count="1" selected="0">
            <x v="2"/>
          </reference>
        </references>
      </pivotArea>
    </chartFormat>
    <chartFormat chart="10" format="11">
      <pivotArea type="data" outline="0" fieldPosition="0">
        <references count="2">
          <reference field="4294967294" count="1" selected="0">
            <x v="0"/>
          </reference>
          <reference field="2" count="1" selected="0">
            <x v="4"/>
          </reference>
        </references>
      </pivotArea>
    </chartFormat>
    <chartFormat chart="10" format="1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2D5873-7825-4561-BB70-E1DDB033B31B}" name="PivotTable2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O13:O14" firstHeaderRow="1" firstDataRow="1" firstDataCol="0"/>
  <pivotFields count="13">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5">
        <item x="0"/>
        <item x="2"/>
        <item x="3"/>
        <item x="1"/>
        <item t="default"/>
      </items>
    </pivotField>
    <pivotField showAll="0">
      <items count="6">
        <item x="0"/>
        <item x="4"/>
        <item x="3"/>
        <item x="1"/>
        <item x="2"/>
        <item t="default"/>
      </items>
    </pivotField>
    <pivotField showAll="0">
      <items count="5">
        <item x="2"/>
        <item x="1"/>
        <item x="3"/>
        <item x="0"/>
        <item t="default"/>
      </items>
    </pivotField>
    <pivotField numFmtId="1" showAll="0"/>
    <pivotField dataField="1" numFmtId="164" showAll="0"/>
    <pivotField numFmtId="164" showAll="0"/>
    <pivotField numFmtId="164" showAll="0"/>
    <pivotField showAll="0"/>
    <pivotField showAll="0"/>
    <pivotField showAll="0"/>
    <pivotField numFmtId="10" showAll="0"/>
    <pivotField numFmtId="1" showAll="0"/>
  </pivotFields>
  <rowItems count="1">
    <i/>
  </rowItems>
  <colItems count="1">
    <i/>
  </colItems>
  <dataFields count="1">
    <dataField name="Overall Total Sales Revenue" fld="5" baseField="0" baseItem="0" numFmtId="164"/>
  </dataFields>
  <formats count="2">
    <format dxfId="49">
      <pivotArea dataOnly="0" labelOnly="1" outline="0" axis="axisValues" fieldPosition="0"/>
    </format>
    <format dxfId="4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72E15B-389A-4FE6-B613-AB1BC4D2DDEF}"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region">
  <location ref="V55:W60" firstHeaderRow="1" firstDataRow="1" firstDataCol="1"/>
  <pivotFields count="13">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6">
        <item x="0"/>
        <item x="4"/>
        <item x="3"/>
        <item x="1"/>
        <item x="2"/>
        <item t="default"/>
      </items>
    </pivotField>
    <pivotField showAll="0">
      <items count="5">
        <item x="2"/>
        <item x="1"/>
        <item x="3"/>
        <item x="0"/>
        <item t="default"/>
      </items>
    </pivotField>
    <pivotField numFmtId="1" showAll="0"/>
    <pivotField dataField="1" numFmtId="164" showAll="0"/>
    <pivotField numFmtId="164" showAll="0"/>
    <pivotField numFmtId="164" showAll="0"/>
    <pivotField showAll="0"/>
    <pivotField showAll="0"/>
    <pivotField showAll="0"/>
    <pivotField numFmtId="10" showAll="0"/>
    <pivotField numFmtId="1" showAll="0"/>
  </pivotFields>
  <rowFields count="1">
    <field x="1"/>
  </rowFields>
  <rowItems count="5">
    <i>
      <x/>
    </i>
    <i>
      <x v="2"/>
    </i>
    <i>
      <x v="3"/>
    </i>
    <i>
      <x v="1"/>
    </i>
    <i t="grand">
      <x/>
    </i>
  </rowItems>
  <colItems count="1">
    <i/>
  </colItems>
  <dataFields count="1">
    <dataField name="Total Sales Revenue" fld="5" baseField="1" baseItem="0" numFmtId="164"/>
  </dataFields>
  <chartFormats count="5">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3"/>
          </reference>
        </references>
      </pivotArea>
    </chartFormat>
    <chartFormat chart="4" format="4">
      <pivotArea type="data" outline="0" fieldPosition="0">
        <references count="2">
          <reference field="4294967294" count="1" selected="0">
            <x v="0"/>
          </reference>
          <reference field="1" count="1" selected="0">
            <x v="1"/>
          </reference>
        </references>
      </pivotArea>
    </chartFormat>
    <chartFormat chart="4" format="5">
      <pivotArea type="data" outline="0" fieldPosition="0">
        <references count="2">
          <reference field="4294967294" count="1" selected="0">
            <x v="0"/>
          </reference>
          <reference field="1" count="1" selected="0">
            <x v="2"/>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649D3F-E06E-4B28-9E30-7726765336F4}" name="PivotTable2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O22:O23" firstHeaderRow="1" firstDataRow="1" firstDataCol="0"/>
  <pivotFields count="13">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5">
        <item x="0"/>
        <item x="2"/>
        <item x="3"/>
        <item x="1"/>
        <item t="default"/>
      </items>
    </pivotField>
    <pivotField showAll="0">
      <items count="6">
        <item x="0"/>
        <item x="4"/>
        <item x="3"/>
        <item x="1"/>
        <item x="2"/>
        <item t="default"/>
      </items>
    </pivotField>
    <pivotField showAll="0">
      <items count="5">
        <item x="2"/>
        <item x="1"/>
        <item x="3"/>
        <item x="0"/>
        <item t="default"/>
      </items>
    </pivotField>
    <pivotField dataField="1" numFmtId="1" showAll="0"/>
    <pivotField numFmtId="164" showAll="0"/>
    <pivotField numFmtId="164" showAll="0"/>
    <pivotField numFmtId="164" showAll="0"/>
    <pivotField showAll="0"/>
    <pivotField showAll="0"/>
    <pivotField showAll="0"/>
    <pivotField numFmtId="10" showAll="0"/>
    <pivotField numFmtId="1" showAll="0"/>
  </pivotFields>
  <rowItems count="1">
    <i/>
  </rowItems>
  <colItems count="1">
    <i/>
  </colItems>
  <dataFields count="1">
    <dataField name="Avg Units per Transaction" fld="4" subtotal="average" baseField="0" baseItem="0" numFmtId="1"/>
  </dataFields>
  <formats count="1">
    <format dxfId="50">
      <pivotArea dataOnly="0" labelOnly="1" outline="0" axis="axisValues" fieldPosition="0"/>
    </format>
  </formats>
  <chartFormats count="2">
    <chartFormat chart="11"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C8A67B-A20F-491F-B3B2-C5DC4DC1B8F7}"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13:L14" firstHeaderRow="1" firstDataRow="1" firstDataCol="0"/>
  <pivotFields count="13">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5">
        <item x="0"/>
        <item x="2"/>
        <item x="3"/>
        <item x="1"/>
        <item t="default"/>
      </items>
    </pivotField>
    <pivotField showAll="0">
      <items count="6">
        <item x="0"/>
        <item x="4"/>
        <item x="3"/>
        <item x="1"/>
        <item x="2"/>
        <item t="default"/>
      </items>
    </pivotField>
    <pivotField showAll="0">
      <items count="5">
        <item x="2"/>
        <item x="1"/>
        <item x="3"/>
        <item x="0"/>
        <item t="default"/>
      </items>
    </pivotField>
    <pivotField numFmtId="1" showAll="0"/>
    <pivotField dataField="1" numFmtId="164" showAll="0"/>
    <pivotField numFmtId="164" showAll="0"/>
    <pivotField numFmtId="164" showAll="0"/>
    <pivotField showAll="0"/>
    <pivotField showAll="0"/>
    <pivotField showAll="0"/>
    <pivotField numFmtId="10" showAll="0"/>
    <pivotField numFmtId="1" showAll="0"/>
  </pivotFields>
  <rowItems count="1">
    <i/>
  </rowItems>
  <colItems count="1">
    <i/>
  </colItems>
  <dataFields count="1">
    <dataField name="Overall Total Sales Revenue"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C3312A-D441-4956-93FB-E5D2767C5BE3}"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16:L17" firstHeaderRow="1" firstDataRow="1" firstDataCol="0"/>
  <pivotFields count="13">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5">
        <item x="0"/>
        <item x="2"/>
        <item x="3"/>
        <item x="1"/>
        <item t="default"/>
      </items>
    </pivotField>
    <pivotField showAll="0">
      <items count="6">
        <item x="0"/>
        <item x="4"/>
        <item x="3"/>
        <item x="1"/>
        <item x="2"/>
        <item t="default"/>
      </items>
    </pivotField>
    <pivotField showAll="0">
      <items count="5">
        <item x="2"/>
        <item x="1"/>
        <item x="3"/>
        <item x="0"/>
        <item t="default"/>
      </items>
    </pivotField>
    <pivotField numFmtId="1" showAll="0"/>
    <pivotField numFmtId="164" showAll="0"/>
    <pivotField numFmtId="164" showAll="0"/>
    <pivotField dataField="1" numFmtId="164" showAll="0"/>
    <pivotField showAll="0"/>
    <pivotField showAll="0"/>
    <pivotField showAll="0"/>
    <pivotField numFmtId="10" showAll="0"/>
    <pivotField numFmtId="1" showAll="0"/>
  </pivotFields>
  <rowItems count="1">
    <i/>
  </rowItems>
  <colItems count="1">
    <i/>
  </colItems>
  <dataFields count="1">
    <dataField name="Overall total Profi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91A946-D205-4F48-AC9B-FEA2492BB8D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Product Catergory">
  <location ref="V20:W25" firstHeaderRow="1" firstDataRow="1" firstDataCol="1"/>
  <pivotFields count="13">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5">
        <item x="0"/>
        <item x="2"/>
        <item x="3"/>
        <item x="1"/>
        <item t="default"/>
      </items>
    </pivotField>
    <pivotField showAll="0">
      <items count="6">
        <item x="0"/>
        <item x="4"/>
        <item x="3"/>
        <item x="1"/>
        <item x="2"/>
        <item t="default"/>
      </items>
    </pivotField>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numFmtId="1" showAll="0"/>
    <pivotField numFmtId="164" showAll="0"/>
    <pivotField numFmtId="164" showAll="0"/>
    <pivotField dataField="1" numFmtId="164" showAll="0"/>
    <pivotField showAll="0"/>
    <pivotField showAll="0"/>
    <pivotField showAll="0"/>
    <pivotField numFmtId="10" showAll="0"/>
    <pivotField numFmtId="1" showAll="0"/>
  </pivotFields>
  <rowFields count="1">
    <field x="3"/>
  </rowFields>
  <rowItems count="5">
    <i>
      <x v="2"/>
    </i>
    <i>
      <x v="3"/>
    </i>
    <i>
      <x v="1"/>
    </i>
    <i>
      <x/>
    </i>
    <i t="grand">
      <x/>
    </i>
  </rowItems>
  <colItems count="1">
    <i/>
  </colItems>
  <dataFields count="1">
    <dataField name="Total Profit" fld="7" baseField="3" baseItem="2" numFmtId="164"/>
  </dataFields>
  <chartFormats count="2">
    <chartFormat chart="4"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3E3838-5498-4CE4-82BB-4D87AEECDA18}" name="PivotTable2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O16:O17" firstHeaderRow="1" firstDataRow="1" firstDataCol="0"/>
  <pivotFields count="13">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5">
        <item x="0"/>
        <item x="2"/>
        <item x="3"/>
        <item x="1"/>
        <item t="default"/>
      </items>
    </pivotField>
    <pivotField showAll="0">
      <items count="6">
        <item x="0"/>
        <item x="4"/>
        <item x="3"/>
        <item x="1"/>
        <item x="2"/>
        <item t="default"/>
      </items>
    </pivotField>
    <pivotField showAll="0">
      <items count="5">
        <item x="2"/>
        <item x="1"/>
        <item x="3"/>
        <item x="0"/>
        <item t="default"/>
      </items>
    </pivotField>
    <pivotField numFmtId="1" showAll="0"/>
    <pivotField numFmtId="164" showAll="0"/>
    <pivotField numFmtId="164" showAll="0"/>
    <pivotField dataField="1" numFmtId="164" showAll="0"/>
    <pivotField showAll="0"/>
    <pivotField showAll="0"/>
    <pivotField showAll="0"/>
    <pivotField numFmtId="10" showAll="0"/>
    <pivotField numFmtId="1" showAll="0"/>
  </pivotFields>
  <rowItems count="1">
    <i/>
  </rowItems>
  <colItems count="1">
    <i/>
  </colItems>
  <dataFields count="1">
    <dataField name="Overall total Profit" fld="7" baseField="0" baseItem="0" numFmtId="164"/>
  </dataFields>
  <formats count="1">
    <format dxfId="51">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197125-C6EA-4ECE-8F30-800FA7B9CD8B}" name="PivotTable2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O19:O20" firstHeaderRow="1" firstDataRow="1" firstDataCol="0"/>
  <pivotFields count="13">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5">
        <item x="0"/>
        <item x="2"/>
        <item x="3"/>
        <item x="1"/>
        <item t="default"/>
      </items>
    </pivotField>
    <pivotField showAll="0">
      <items count="6">
        <item x="0"/>
        <item x="4"/>
        <item x="3"/>
        <item x="1"/>
        <item x="2"/>
        <item t="default"/>
      </items>
    </pivotField>
    <pivotField showAll="0">
      <items count="5">
        <item x="2"/>
        <item x="1"/>
        <item x="3"/>
        <item x="0"/>
        <item t="default"/>
      </items>
    </pivotField>
    <pivotField numFmtId="1" showAll="0"/>
    <pivotField dataField="1" numFmtId="164" showAll="0"/>
    <pivotField numFmtId="164" showAll="0"/>
    <pivotField numFmtId="164" showAll="0"/>
    <pivotField showAll="0"/>
    <pivotField showAll="0"/>
    <pivotField showAll="0"/>
    <pivotField numFmtId="10" showAll="0"/>
    <pivotField numFmtId="1" showAll="0"/>
  </pivotFields>
  <rowItems count="1">
    <i/>
  </rowItems>
  <colItems count="1">
    <i/>
  </colItems>
  <dataFields count="1">
    <dataField name="Avg Sales per Transaction" fld="5" subtotal="average" baseField="0" baseItem="0" numFmtId="164"/>
  </dataFields>
  <formats count="1">
    <format dxfId="52">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5300192-CE45-466E-BE5F-2AC0C585E9F8}"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22:L23" firstHeaderRow="1" firstDataRow="1" firstDataCol="0"/>
  <pivotFields count="13">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5">
        <item x="0"/>
        <item x="2"/>
        <item x="3"/>
        <item x="1"/>
        <item t="default"/>
      </items>
    </pivotField>
    <pivotField showAll="0">
      <items count="6">
        <item x="0"/>
        <item x="4"/>
        <item x="3"/>
        <item x="1"/>
        <item x="2"/>
        <item t="default"/>
      </items>
    </pivotField>
    <pivotField showAll="0">
      <items count="5">
        <item x="2"/>
        <item x="1"/>
        <item x="3"/>
        <item x="0"/>
        <item t="default"/>
      </items>
    </pivotField>
    <pivotField dataField="1" numFmtId="1" showAll="0"/>
    <pivotField numFmtId="164" showAll="0"/>
    <pivotField numFmtId="164" showAll="0"/>
    <pivotField numFmtId="164" showAll="0"/>
    <pivotField showAll="0"/>
    <pivotField showAll="0"/>
    <pivotField showAll="0"/>
    <pivotField numFmtId="10" showAll="0"/>
    <pivotField numFmtId="1" showAll="0"/>
  </pivotFields>
  <rowItems count="1">
    <i/>
  </rowItems>
  <colItems count="1">
    <i/>
  </colItems>
  <dataFields count="1">
    <dataField name="Avg Units per Transaction" fld="4"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FBDD08D-3FA9-43BB-AD05-544ACD32AA1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Product Catergory">
  <location ref="V12:W17" firstHeaderRow="1" firstDataRow="1" firstDataCol="1"/>
  <pivotFields count="13">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5">
        <item x="0"/>
        <item x="2"/>
        <item x="3"/>
        <item x="1"/>
        <item t="default"/>
      </items>
    </pivotField>
    <pivotField showAll="0">
      <items count="6">
        <item x="0"/>
        <item x="4"/>
        <item x="3"/>
        <item x="1"/>
        <item x="2"/>
        <item t="default"/>
      </items>
    </pivotField>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numFmtId="1" showAll="0"/>
    <pivotField dataField="1" numFmtId="164" showAll="0"/>
    <pivotField numFmtId="164" showAll="0"/>
    <pivotField numFmtId="164" showAll="0"/>
    <pivotField showAll="0"/>
    <pivotField showAll="0"/>
    <pivotField showAll="0"/>
    <pivotField numFmtId="10" showAll="0"/>
    <pivotField numFmtId="1" showAll="0"/>
  </pivotFields>
  <rowFields count="1">
    <field x="3"/>
  </rowFields>
  <rowItems count="5">
    <i>
      <x v="2"/>
    </i>
    <i>
      <x v="3"/>
    </i>
    <i>
      <x v="1"/>
    </i>
    <i>
      <x/>
    </i>
    <i t="grand">
      <x/>
    </i>
  </rowItems>
  <colItems count="1">
    <i/>
  </colItems>
  <dataFields count="1">
    <dataField name="Total Sales Revenue" fld="5" baseField="3" baseItem="2"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8ED4825-87DE-46C0-ADE0-D285383624F0}"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rowHeaderCaption="Sales Rep">
  <location ref="V28:W34" firstHeaderRow="1" firstDataRow="1" firstDataCol="1"/>
  <pivotFields count="13">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5">
        <item x="0"/>
        <item x="2"/>
        <item x="3"/>
        <item x="1"/>
        <item t="default"/>
      </items>
    </pivotField>
    <pivotField axis="axisRow" showAll="0" sortType="descending">
      <items count="6">
        <item x="0"/>
        <item x="4"/>
        <item x="3"/>
        <item x="1"/>
        <item x="2"/>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numFmtId="1" showAll="0"/>
    <pivotField dataField="1" numFmtId="164" showAll="0"/>
    <pivotField numFmtId="164" showAll="0"/>
    <pivotField numFmtId="164" showAll="0"/>
    <pivotField showAll="0"/>
    <pivotField showAll="0"/>
    <pivotField showAll="0"/>
    <pivotField numFmtId="10" showAll="0"/>
    <pivotField numFmtId="1" showAll="0"/>
  </pivotFields>
  <rowFields count="1">
    <field x="2"/>
  </rowFields>
  <rowItems count="6">
    <i>
      <x v="3"/>
    </i>
    <i>
      <x/>
    </i>
    <i>
      <x v="2"/>
    </i>
    <i>
      <x v="1"/>
    </i>
    <i>
      <x v="4"/>
    </i>
    <i t="grand">
      <x/>
    </i>
  </rowItems>
  <colItems count="1">
    <i/>
  </colItems>
  <dataFields count="1">
    <dataField name="Total Sales Revenue" fld="5" baseField="2" baseItem="3" numFmtId="164"/>
  </dataFields>
  <chartFormats count="6">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3"/>
          </reference>
        </references>
      </pivotArea>
    </chartFormat>
    <chartFormat chart="4" format="4">
      <pivotArea type="data" outline="0" fieldPosition="0">
        <references count="2">
          <reference field="4294967294" count="1" selected="0">
            <x v="0"/>
          </reference>
          <reference field="2" count="1" selected="0">
            <x v="0"/>
          </reference>
        </references>
      </pivotArea>
    </chartFormat>
    <chartFormat chart="4" format="5">
      <pivotArea type="data" outline="0" fieldPosition="0">
        <references count="2">
          <reference field="4294967294" count="1" selected="0">
            <x v="0"/>
          </reference>
          <reference field="2" count="1" selected="0">
            <x v="2"/>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 chart="4" format="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FF05D6C-89BA-4538-950C-C30B5E15862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rowHeaderCaption="Quarter">
  <location ref="V3:W7" firstHeaderRow="1" firstDataRow="1" firstDataCol="1"/>
  <pivotFields count="13">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5">
        <item x="0"/>
        <item x="2"/>
        <item x="3"/>
        <item x="1"/>
        <item t="default"/>
      </items>
    </pivotField>
    <pivotField showAll="0">
      <items count="6">
        <item x="0"/>
        <item x="4"/>
        <item x="3"/>
        <item x="1"/>
        <item x="2"/>
        <item t="default"/>
      </items>
    </pivotField>
    <pivotField showAll="0">
      <items count="5">
        <item x="2"/>
        <item x="1"/>
        <item x="3"/>
        <item x="0"/>
        <item t="default"/>
      </items>
    </pivotField>
    <pivotField dataField="1" numFmtId="1" showAll="0"/>
    <pivotField numFmtId="164" showAll="0"/>
    <pivotField numFmtId="164" showAll="0"/>
    <pivotField numFmtId="164" showAll="0"/>
    <pivotField axis="axisRow" showAll="0">
      <items count="4">
        <item x="0"/>
        <item x="1"/>
        <item x="2"/>
        <item t="default"/>
      </items>
    </pivotField>
    <pivotField showAll="0">
      <items count="2">
        <item x="0"/>
        <item t="default"/>
      </items>
    </pivotField>
    <pivotField showAll="0"/>
    <pivotField numFmtId="10" showAll="0"/>
    <pivotField numFmtId="1" showAll="0"/>
  </pivotFields>
  <rowFields count="1">
    <field x="8"/>
  </rowFields>
  <rowItems count="4">
    <i>
      <x/>
    </i>
    <i>
      <x v="1"/>
    </i>
    <i>
      <x v="2"/>
    </i>
    <i t="grand">
      <x/>
    </i>
  </rowItems>
  <colItems count="1">
    <i/>
  </colItems>
  <dataFields count="1">
    <dataField name="Total unit sold" fld="4" baseField="8" baseItem="0" numFmtId="1"/>
  </dataFields>
  <chartFormats count="3">
    <chartFormat chart="16"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2CF0C00-3D80-4A61-AADA-47B6DA1F9847}"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rowHeaderCaption="Quater" colHeaderCaption="Product category">
  <location ref="Z3:AE8" firstHeaderRow="1" firstDataRow="2" firstDataCol="1"/>
  <pivotFields count="13">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5">
        <item x="0"/>
        <item x="2"/>
        <item x="3"/>
        <item x="1"/>
        <item t="default"/>
      </items>
    </pivotField>
    <pivotField showAll="0">
      <items count="6">
        <item x="0"/>
        <item x="4"/>
        <item x="3"/>
        <item x="1"/>
        <item x="2"/>
        <item t="default"/>
      </items>
    </pivotField>
    <pivotField axis="axisCol" showAll="0">
      <items count="5">
        <item x="2"/>
        <item x="1"/>
        <item x="3"/>
        <item x="0"/>
        <item t="default"/>
      </items>
    </pivotField>
    <pivotField dataField="1" numFmtId="1" showAll="0"/>
    <pivotField numFmtId="164" showAll="0"/>
    <pivotField numFmtId="164" showAll="0"/>
    <pivotField numFmtId="164"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numFmtId="10" showAll="0"/>
    <pivotField numFmtId="1" showAll="0"/>
  </pivotFields>
  <rowFields count="1">
    <field x="8"/>
  </rowFields>
  <rowItems count="4">
    <i>
      <x v="1"/>
    </i>
    <i>
      <x/>
    </i>
    <i>
      <x v="2"/>
    </i>
    <i t="grand">
      <x/>
    </i>
  </rowItems>
  <colFields count="1">
    <field x="3"/>
  </colFields>
  <colItems count="5">
    <i>
      <x/>
    </i>
    <i>
      <x v="1"/>
    </i>
    <i>
      <x v="2"/>
    </i>
    <i>
      <x v="3"/>
    </i>
    <i t="grand">
      <x/>
    </i>
  </colItems>
  <dataFields count="1">
    <dataField name="Total Units Sold" fld="4" baseField="0" baseItem="0" numFmtId="1"/>
  </dataFields>
  <chartFormats count="4">
    <chartFormat chart="9" format="8" series="1">
      <pivotArea type="data" outline="0" fieldPosition="0">
        <references count="2">
          <reference field="4294967294" count="1" selected="0">
            <x v="0"/>
          </reference>
          <reference field="3" count="1" selected="0">
            <x v="0"/>
          </reference>
        </references>
      </pivotArea>
    </chartFormat>
    <chartFormat chart="9" format="9" series="1">
      <pivotArea type="data" outline="0" fieldPosition="0">
        <references count="2">
          <reference field="4294967294" count="1" selected="0">
            <x v="0"/>
          </reference>
          <reference field="3" count="1" selected="0">
            <x v="1"/>
          </reference>
        </references>
      </pivotArea>
    </chartFormat>
    <chartFormat chart="9" format="10" series="1">
      <pivotArea type="data" outline="0" fieldPosition="0">
        <references count="2">
          <reference field="4294967294" count="1" selected="0">
            <x v="0"/>
          </reference>
          <reference field="3" count="1" selected="0">
            <x v="2"/>
          </reference>
        </references>
      </pivotArea>
    </chartFormat>
    <chartFormat chart="9"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1C8D5F3-8287-4BC3-9C3E-825FF238B816}"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ales Rep" colHeaderCaption="Product Category">
  <location ref="V37:W43" firstHeaderRow="1" firstDataRow="1" firstDataCol="1"/>
  <pivotFields count="13">
    <pivotField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5">
        <item x="0"/>
        <item x="2"/>
        <item x="3"/>
        <item x="1"/>
        <item t="default"/>
      </items>
    </pivotField>
    <pivotField axis="axisRow" showAll="0">
      <items count="6">
        <item x="0"/>
        <item x="4"/>
        <item x="3"/>
        <item x="1"/>
        <item x="2"/>
        <item t="default"/>
      </items>
    </pivotField>
    <pivotField showAll="0">
      <items count="5">
        <item x="2"/>
        <item x="1"/>
        <item x="3"/>
        <item x="0"/>
        <item t="default"/>
      </items>
    </pivotField>
    <pivotField numFmtId="1" showAll="0"/>
    <pivotField numFmtId="164" showAll="0"/>
    <pivotField numFmtId="164" showAll="0"/>
    <pivotField dataField="1" numFmtId="164" showAll="0"/>
    <pivotField showAll="0"/>
    <pivotField showAll="0"/>
    <pivotField showAll="0"/>
    <pivotField numFmtId="10" showAll="0"/>
    <pivotField numFmtId="1" showAll="0"/>
  </pivotFields>
  <rowFields count="1">
    <field x="2"/>
  </rowFields>
  <rowItems count="6">
    <i>
      <x/>
    </i>
    <i>
      <x v="1"/>
    </i>
    <i>
      <x v="2"/>
    </i>
    <i>
      <x v="3"/>
    </i>
    <i>
      <x v="4"/>
    </i>
    <i t="grand">
      <x/>
    </i>
  </rowItems>
  <colItems count="1">
    <i/>
  </colItems>
  <dataFields count="1">
    <dataField name="Total profi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D8C2711-D126-4AE2-B515-6EC2A17661F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Gender">
  <location ref="N3:O19" firstHeaderRow="1" firstDataRow="1" firstDataCol="1"/>
  <pivotFields count="7">
    <pivotField dataField="1" showAll="0"/>
    <pivotField numFmtId="1" showAll="0"/>
    <pivotField axis="axisRow" showAll="0">
      <items count="4">
        <item x="0"/>
        <item x="1"/>
        <item x="2"/>
        <item t="default"/>
      </items>
    </pivotField>
    <pivotField axis="axisRow" showAll="0">
      <items count="5">
        <item x="1"/>
        <item x="3"/>
        <item x="2"/>
        <item x="0"/>
        <item t="default"/>
      </items>
    </pivotField>
    <pivotField showAll="0">
      <items count="3">
        <item x="0"/>
        <item x="1"/>
        <item t="default"/>
      </items>
    </pivotField>
    <pivotField numFmtId="1" showAll="0">
      <items count="6">
        <item x="0"/>
        <item x="1"/>
        <item x="3"/>
        <item x="2"/>
        <item x="4"/>
        <item t="default"/>
      </items>
    </pivotField>
    <pivotField numFmtId="1" showAll="0">
      <items count="12">
        <item x="5"/>
        <item x="8"/>
        <item x="1"/>
        <item x="7"/>
        <item x="3"/>
        <item x="2"/>
        <item x="0"/>
        <item x="9"/>
        <item x="10"/>
        <item x="6"/>
        <item x="4"/>
        <item t="default"/>
      </items>
    </pivotField>
  </pivotFields>
  <rowFields count="2">
    <field x="2"/>
    <field x="3"/>
  </rowFields>
  <rowItems count="16">
    <i>
      <x/>
    </i>
    <i r="1">
      <x/>
    </i>
    <i r="1">
      <x v="1"/>
    </i>
    <i r="1">
      <x v="2"/>
    </i>
    <i r="1">
      <x v="3"/>
    </i>
    <i>
      <x v="1"/>
    </i>
    <i r="1">
      <x/>
    </i>
    <i r="1">
      <x v="1"/>
    </i>
    <i r="1">
      <x v="2"/>
    </i>
    <i r="1">
      <x v="3"/>
    </i>
    <i>
      <x v="2"/>
    </i>
    <i r="1">
      <x/>
    </i>
    <i r="1">
      <x v="1"/>
    </i>
    <i r="1">
      <x v="2"/>
    </i>
    <i r="1">
      <x v="3"/>
    </i>
    <i t="grand">
      <x/>
    </i>
  </rowItems>
  <colItems count="1">
    <i/>
  </colItems>
  <dataFields count="1">
    <dataField name="Number of Respondent ID" fld="0" subtotal="count" baseField="2"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9CF51F1-D41A-43B3-BED2-863FCA485C4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 Awareness">
  <location ref="N22:O25" firstHeaderRow="1" firstDataRow="1" firstDataCol="1"/>
  <pivotFields count="7">
    <pivotField showAll="0"/>
    <pivotField numFmtId="1" showAll="0"/>
    <pivotField dataField="1" showAll="0"/>
    <pivotField showAll="0"/>
    <pivotField axis="axisRow" showAll="0">
      <items count="3">
        <item x="0"/>
        <item x="1"/>
        <item t="default"/>
      </items>
    </pivotField>
    <pivotField numFmtId="1" showAll="0">
      <items count="6">
        <item x="0"/>
        <item x="1"/>
        <item x="3"/>
        <item x="2"/>
        <item x="4"/>
        <item t="default"/>
      </items>
    </pivotField>
    <pivotField numFmtId="1" showAll="0">
      <items count="12">
        <item x="5"/>
        <item x="8"/>
        <item x="1"/>
        <item x="7"/>
        <item x="3"/>
        <item x="2"/>
        <item x="0"/>
        <item x="9"/>
        <item x="10"/>
        <item x="6"/>
        <item x="4"/>
        <item t="default"/>
      </items>
    </pivotField>
  </pivotFields>
  <rowFields count="1">
    <field x="4"/>
  </rowFields>
  <rowItems count="3">
    <i>
      <x/>
    </i>
    <i>
      <x v="1"/>
    </i>
    <i t="grand">
      <x/>
    </i>
  </rowItems>
  <colItems count="1">
    <i/>
  </colItems>
  <dataFields count="1">
    <dataField name="Gender count" fld="2" subtotal="count" baseField="4" baseItem="0"/>
  </dataField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4" count="1" selected="0">
            <x v="0"/>
          </reference>
        </references>
      </pivotArea>
    </chartFormat>
    <chartFormat chart="12"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FA74AA6-DCF7-43FF-813E-F63B056E5EF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atisfaction score">
  <location ref="Q3:R9" firstHeaderRow="1" firstDataRow="1" firstDataCol="1"/>
  <pivotFields count="7">
    <pivotField showAll="0"/>
    <pivotField numFmtId="1" showAll="0"/>
    <pivotField showAll="0">
      <items count="4">
        <item x="0"/>
        <item x="1"/>
        <item x="2"/>
        <item t="default"/>
      </items>
    </pivotField>
    <pivotField showAll="0"/>
    <pivotField dataField="1" showAll="0">
      <items count="3">
        <item x="0"/>
        <item x="1"/>
        <item t="default"/>
      </items>
    </pivotField>
    <pivotField axis="axisRow" numFmtId="1" showAll="0">
      <items count="6">
        <item x="0"/>
        <item x="1"/>
        <item x="3"/>
        <item x="2"/>
        <item x="4"/>
        <item t="default"/>
      </items>
    </pivotField>
    <pivotField numFmtId="1" showAll="0">
      <items count="12">
        <item x="5"/>
        <item x="8"/>
        <item x="1"/>
        <item x="7"/>
        <item x="3"/>
        <item x="2"/>
        <item x="0"/>
        <item x="9"/>
        <item x="10"/>
        <item x="6"/>
        <item x="4"/>
        <item t="default"/>
      </items>
    </pivotField>
  </pivotFields>
  <rowFields count="1">
    <field x="5"/>
  </rowFields>
  <rowItems count="6">
    <i>
      <x/>
    </i>
    <i>
      <x v="1"/>
    </i>
    <i>
      <x v="2"/>
    </i>
    <i>
      <x v="3"/>
    </i>
    <i>
      <x v="4"/>
    </i>
    <i t="grand">
      <x/>
    </i>
  </rowItems>
  <colItems count="1">
    <i/>
  </colItems>
  <dataFields count="1">
    <dataField name="Number of Product Awareness" fld="4" subtotal="count" baseField="5"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DC3D97A-2696-49E5-93E5-1B2A4AC42C1C}"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rowHeaderCaption="Channel">
  <location ref="AA4:AB9" firstHeaderRow="1" firstDataRow="1" firstDataCol="1"/>
  <pivotFields count="15">
    <pivotField showAll="0"/>
    <pivotField axis="axisRow" showAll="0">
      <items count="5">
        <item x="3"/>
        <item x="0"/>
        <item x="2"/>
        <item x="1"/>
        <item t="default"/>
      </items>
    </pivotField>
    <pivotField numFmtId="164" showAll="0"/>
    <pivotField numFmtId="1" showAll="0"/>
    <pivotField numFmtId="1" showAll="0"/>
    <pivotField numFmtId="1" showAll="0"/>
    <pivotField numFmtId="165" showAll="0"/>
    <pivotField numFmtId="9" showAll="0"/>
    <pivotField numFmtId="9" showAll="0"/>
    <pivotField numFmtId="1" showAll="0"/>
    <pivotField dataField="1" numFmtId="1" showAll="0"/>
    <pivotField numFmtId="9" showAll="0"/>
    <pivotField numFmtId="1" showAll="0"/>
    <pivotField numFmtId="1" showAll="0"/>
    <pivotField dragToRow="0" dragToCol="0" dragToPage="0" showAll="0" defaultSubtotal="0"/>
  </pivotFields>
  <rowFields count="1">
    <field x="1"/>
  </rowFields>
  <rowItems count="5">
    <i>
      <x/>
    </i>
    <i>
      <x v="1"/>
    </i>
    <i>
      <x v="2"/>
    </i>
    <i>
      <x v="3"/>
    </i>
    <i t="grand">
      <x/>
    </i>
  </rowItems>
  <colItems count="1">
    <i/>
  </colItems>
  <dataFields count="1">
    <dataField name="Average CPA (Cost per Acquisition/Conversion)" fld="10" subtotal="average" baseField="1" baseItem="1" numFmtId="1"/>
  </dataFields>
  <chartFormats count="18">
    <chartFormat chart="25" format="0"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0"/>
          </reference>
        </references>
      </pivotArea>
    </chartFormat>
    <chartFormat chart="37" format="2">
      <pivotArea type="data" outline="0" fieldPosition="0">
        <references count="2">
          <reference field="4294967294" count="1" selected="0">
            <x v="0"/>
          </reference>
          <reference field="1" count="1" selected="0">
            <x v="0"/>
          </reference>
        </references>
      </pivotArea>
    </chartFormat>
    <chartFormat chart="37" format="3">
      <pivotArea type="data" outline="0" fieldPosition="0">
        <references count="2">
          <reference field="4294967294" count="1" selected="0">
            <x v="0"/>
          </reference>
          <reference field="1" count="1" selected="0">
            <x v="1"/>
          </reference>
        </references>
      </pivotArea>
    </chartFormat>
    <chartFormat chart="37" format="4">
      <pivotArea type="data" outline="0" fieldPosition="0">
        <references count="2">
          <reference field="4294967294" count="1" selected="0">
            <x v="0"/>
          </reference>
          <reference field="1" count="1" selected="0">
            <x v="2"/>
          </reference>
        </references>
      </pivotArea>
    </chartFormat>
    <chartFormat chart="37" format="5">
      <pivotArea type="data" outline="0" fieldPosition="0">
        <references count="2">
          <reference field="4294967294" count="1" selected="0">
            <x v="0"/>
          </reference>
          <reference field="1" count="1" selected="0">
            <x v="3"/>
          </reference>
        </references>
      </pivotArea>
    </chartFormat>
    <chartFormat chart="38" format="6" series="1">
      <pivotArea type="data" outline="0" fieldPosition="0">
        <references count="1">
          <reference field="4294967294" count="1" selected="0">
            <x v="0"/>
          </reference>
        </references>
      </pivotArea>
    </chartFormat>
    <chartFormat chart="38" format="7">
      <pivotArea type="data" outline="0" fieldPosition="0">
        <references count="2">
          <reference field="4294967294" count="1" selected="0">
            <x v="0"/>
          </reference>
          <reference field="1" count="1" selected="0">
            <x v="0"/>
          </reference>
        </references>
      </pivotArea>
    </chartFormat>
    <chartFormat chart="38" format="8">
      <pivotArea type="data" outline="0" fieldPosition="0">
        <references count="2">
          <reference field="4294967294" count="1" selected="0">
            <x v="0"/>
          </reference>
          <reference field="1" count="1" selected="0">
            <x v="1"/>
          </reference>
        </references>
      </pivotArea>
    </chartFormat>
    <chartFormat chart="38" format="9">
      <pivotArea type="data" outline="0" fieldPosition="0">
        <references count="2">
          <reference field="4294967294" count="1" selected="0">
            <x v="0"/>
          </reference>
          <reference field="1" count="1" selected="0">
            <x v="2"/>
          </reference>
        </references>
      </pivotArea>
    </chartFormat>
    <chartFormat chart="38" format="10">
      <pivotArea type="data" outline="0" fieldPosition="0">
        <references count="2">
          <reference field="4294967294" count="1" selected="0">
            <x v="0"/>
          </reference>
          <reference field="1" count="1" selected="0">
            <x v="3"/>
          </reference>
        </references>
      </pivotArea>
    </chartFormat>
    <chartFormat chart="39" format="6" series="1">
      <pivotArea type="data" outline="0" fieldPosition="0">
        <references count="1">
          <reference field="4294967294" count="1" selected="0">
            <x v="0"/>
          </reference>
        </references>
      </pivotArea>
    </chartFormat>
    <chartFormat chart="39" format="7">
      <pivotArea type="data" outline="0" fieldPosition="0">
        <references count="2">
          <reference field="4294967294" count="1" selected="0">
            <x v="0"/>
          </reference>
          <reference field="1" count="1" selected="0">
            <x v="0"/>
          </reference>
        </references>
      </pivotArea>
    </chartFormat>
    <chartFormat chart="39" format="8">
      <pivotArea type="data" outline="0" fieldPosition="0">
        <references count="2">
          <reference field="4294967294" count="1" selected="0">
            <x v="0"/>
          </reference>
          <reference field="1" count="1" selected="0">
            <x v="1"/>
          </reference>
        </references>
      </pivotArea>
    </chartFormat>
    <chartFormat chart="39" format="9">
      <pivotArea type="data" outline="0" fieldPosition="0">
        <references count="2">
          <reference field="4294967294" count="1" selected="0">
            <x v="0"/>
          </reference>
          <reference field="1" count="1" selected="0">
            <x v="2"/>
          </reference>
        </references>
      </pivotArea>
    </chartFormat>
    <chartFormat chart="39"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C283BAF-57E6-4036-BC6E-0B634E4A0E51}"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Channel">
  <location ref="X19:Z24" firstHeaderRow="0" firstDataRow="1" firstDataCol="1"/>
  <pivotFields count="15">
    <pivotField showAll="0"/>
    <pivotField axis="axisRow" showAll="0">
      <items count="5">
        <item x="3"/>
        <item x="0"/>
        <item x="2"/>
        <item x="1"/>
        <item t="default"/>
      </items>
    </pivotField>
    <pivotField dataField="1" numFmtId="164" showAll="0"/>
    <pivotField numFmtId="1" showAll="0"/>
    <pivotField numFmtId="1" showAll="0"/>
    <pivotField numFmtId="1" showAll="0"/>
    <pivotField numFmtId="165" showAll="0"/>
    <pivotField numFmtId="9" showAll="0"/>
    <pivotField numFmtId="9" showAll="0"/>
    <pivotField numFmtId="1" showAll="0"/>
    <pivotField numFmtId="1" showAll="0"/>
    <pivotField numFmtId="9" showAll="0"/>
    <pivotField numFmtId="1" showAll="0"/>
    <pivotField numFmtId="1" showAll="0"/>
    <pivotField dataField="1" dragToRow="0" dragToCol="0" dragToPage="0" showAll="0" defaultSubtotal="0"/>
  </pivotFields>
  <rowFields count="1">
    <field x="1"/>
  </rowFields>
  <rowItems count="5">
    <i>
      <x/>
    </i>
    <i>
      <x v="1"/>
    </i>
    <i>
      <x v="2"/>
    </i>
    <i>
      <x v="3"/>
    </i>
    <i t="grand">
      <x/>
    </i>
  </rowItems>
  <colFields count="1">
    <field x="-2"/>
  </colFields>
  <colItems count="2">
    <i>
      <x/>
    </i>
    <i i="1">
      <x v="1"/>
    </i>
  </colItems>
  <dataFields count="2">
    <dataField name="Average Spend" fld="2" subtotal="average" baseField="1" baseItem="0" numFmtId="164"/>
    <dataField name="Average Profit" fld="14" subtotal="average" baseField="1" baseItem="1" numFmtId="164"/>
  </dataFields>
  <formats count="1">
    <format dxfId="4">
      <pivotArea outline="0" collapsedLevelsAreSubtotals="1" fieldPosition="0">
        <references count="1">
          <reference field="4294967294" count="1" selected="0">
            <x v="1"/>
          </reference>
        </references>
      </pivotArea>
    </format>
  </formats>
  <chartFormats count="4">
    <chartFormat chart="25"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1"/>
          </reference>
        </references>
      </pivotArea>
    </chartFormat>
    <chartFormat chart="30" format="7" series="1">
      <pivotArea type="data" outline="0" fieldPosition="0">
        <references count="1">
          <reference field="4294967294" count="1" selected="0">
            <x v="0"/>
          </reference>
        </references>
      </pivotArea>
    </chartFormat>
    <chartFormat chart="30"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B7BC989-F54D-4BB3-A4CB-8F14D311FC9F}"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hannel">
  <location ref="W10:X15" firstHeaderRow="1" firstDataRow="1" firstDataCol="1"/>
  <pivotFields count="15">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numFmtId="164" showAll="0"/>
    <pivotField numFmtId="1" showAll="0"/>
    <pivotField numFmtId="1" showAll="0"/>
    <pivotField numFmtId="1" showAll="0"/>
    <pivotField numFmtId="165" showAll="0"/>
    <pivotField numFmtId="9" showAll="0"/>
    <pivotField dataField="1" numFmtId="9" showAll="0"/>
    <pivotField numFmtId="1" showAll="0"/>
    <pivotField numFmtId="1" showAll="0"/>
    <pivotField numFmtId="9" showAll="0"/>
    <pivotField numFmtId="1" showAll="0"/>
    <pivotField numFmtId="1" showAll="0"/>
    <pivotField dragToRow="0" dragToCol="0" dragToPage="0" showAll="0" defaultSubtotal="0"/>
  </pivotFields>
  <rowFields count="1">
    <field x="1"/>
  </rowFields>
  <rowItems count="5">
    <i>
      <x v="3"/>
    </i>
    <i>
      <x v="1"/>
    </i>
    <i>
      <x/>
    </i>
    <i>
      <x v="2"/>
    </i>
    <i t="grand">
      <x/>
    </i>
  </rowItems>
  <colItems count="1">
    <i/>
  </colItems>
  <dataFields count="1">
    <dataField name="Average Conversion Rate" fld="8" subtotal="average" baseField="1" baseItem="3" numFmtId="9"/>
  </dataField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8133115-3976-46CF-842D-3E79DDA46EA9}"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hannel">
  <location ref="X3:Y8" firstHeaderRow="1" firstDataRow="1" firstDataCol="1"/>
  <pivotFields count="15">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numFmtId="164" showAll="0"/>
    <pivotField numFmtId="1" showAll="0"/>
    <pivotField numFmtId="1" showAll="0"/>
    <pivotField numFmtId="1" showAll="0"/>
    <pivotField numFmtId="165" showAll="0"/>
    <pivotField dataField="1" numFmtId="9" showAll="0"/>
    <pivotField numFmtId="9" showAll="0"/>
    <pivotField numFmtId="1" showAll="0"/>
    <pivotField numFmtId="1" showAll="0"/>
    <pivotField numFmtId="9" showAll="0"/>
    <pivotField numFmtId="1" showAll="0"/>
    <pivotField numFmtId="1" showAll="0"/>
    <pivotField dragToRow="0" dragToCol="0" dragToPage="0" showAll="0" defaultSubtotal="0"/>
  </pivotFields>
  <rowFields count="1">
    <field x="1"/>
  </rowFields>
  <rowItems count="5">
    <i>
      <x v="3"/>
    </i>
    <i>
      <x v="2"/>
    </i>
    <i>
      <x v="1"/>
    </i>
    <i>
      <x/>
    </i>
    <i t="grand">
      <x/>
    </i>
  </rowItems>
  <colItems count="1">
    <i/>
  </colItems>
  <dataFields count="1">
    <dataField name="Average CTR" fld="7" subtotal="average" baseField="1" baseItem="3" numFmtId="9"/>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C07CBCA-6685-497B-8F23-D9CD37D9BB84}"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Channel">
  <location ref="W33:Y38" firstHeaderRow="0" firstDataRow="1" firstDataCol="1"/>
  <pivotFields count="15">
    <pivotField showAll="0"/>
    <pivotField axis="axisRow" showAll="0" sortType="descending">
      <items count="5">
        <item x="3"/>
        <item x="0"/>
        <item x="2"/>
        <item x="1"/>
        <item t="default"/>
      </items>
      <autoSortScope>
        <pivotArea dataOnly="0" outline="0" fieldPosition="0">
          <references count="1">
            <reference field="4294967294" count="1" selected="0">
              <x v="1"/>
            </reference>
          </references>
        </pivotArea>
      </autoSortScope>
    </pivotField>
    <pivotField numFmtId="164" showAll="0"/>
    <pivotField numFmtId="1" showAll="0"/>
    <pivotField numFmtId="1" showAll="0"/>
    <pivotField numFmtId="1" showAll="0"/>
    <pivotField dataField="1" numFmtId="165" showAll="0"/>
    <pivotField numFmtId="9" showAll="0"/>
    <pivotField numFmtId="9" showAll="0"/>
    <pivotField numFmtId="1" showAll="0"/>
    <pivotField numFmtId="1" showAll="0"/>
    <pivotField numFmtId="9" showAll="0"/>
    <pivotField numFmtId="1" showAll="0"/>
    <pivotField numFmtId="1" showAll="0"/>
    <pivotField dataField="1" dragToRow="0" dragToCol="0" dragToPage="0" showAll="0" defaultSubtotal="0"/>
  </pivotFields>
  <rowFields count="1">
    <field x="1"/>
  </rowFields>
  <rowItems count="5">
    <i>
      <x v="3"/>
    </i>
    <i>
      <x v="2"/>
    </i>
    <i>
      <x/>
    </i>
    <i>
      <x v="1"/>
    </i>
    <i t="grand">
      <x/>
    </i>
  </rowItems>
  <colFields count="1">
    <field x="-2"/>
  </colFields>
  <colItems count="2">
    <i>
      <x/>
    </i>
    <i i="1">
      <x v="1"/>
    </i>
  </colItems>
  <dataFields count="2">
    <dataField name="Sum of Profit" fld="14" baseField="0" baseItem="0" numFmtId="164"/>
    <dataField name="Sum of Sales Generated" fld="6" baseField="0" baseItem="0" numFmtId="164"/>
  </dataFields>
  <formats count="2">
    <format dxfId="10">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1"/>
          </reference>
        </references>
      </pivotArea>
    </format>
  </formats>
  <chartFormats count="8">
    <chartFormat chart="10" format="2"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11" series="1">
      <pivotArea type="data" outline="0" fieldPosition="0">
        <references count="2">
          <reference field="4294967294" count="1" selected="0">
            <x v="0"/>
          </reference>
          <reference field="1" count="1" selected="0">
            <x v="1"/>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21" format="0"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8DDCC86-9CD2-4186-931E-68C6818389AE}" name="PivotTable2" cacheId="4"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Channel">
  <location ref="T30:V35" firstHeaderRow="0" firstDataRow="1" firstDataCol="1"/>
  <pivotFields count="15">
    <pivotField showAll="0"/>
    <pivotField axis="axisRow" showAll="0" sortType="descending">
      <items count="5">
        <item x="3"/>
        <item x="0"/>
        <item x="2"/>
        <item x="1"/>
        <item t="default"/>
      </items>
      <autoSortScope>
        <pivotArea dataOnly="0" outline="0" fieldPosition="0">
          <references count="1">
            <reference field="4294967294" count="1" selected="0">
              <x v="1"/>
            </reference>
          </references>
        </pivotArea>
      </autoSortScope>
    </pivotField>
    <pivotField dataField="1" numFmtId="164" showAll="0"/>
    <pivotField numFmtId="1" showAll="0"/>
    <pivotField numFmtId="1" showAll="0"/>
    <pivotField numFmtId="1" showAll="0"/>
    <pivotField numFmtId="165" showAll="0"/>
    <pivotField numFmtId="9" showAll="0"/>
    <pivotField numFmtId="9" showAll="0"/>
    <pivotField numFmtId="1" showAll="0"/>
    <pivotField numFmtId="1" showAll="0"/>
    <pivotField numFmtId="9" showAll="0"/>
    <pivotField numFmtId="1" showAll="0"/>
    <pivotField numFmtId="1" showAll="0"/>
    <pivotField dataField="1" dragToRow="0" dragToCol="0" dragToPage="0" showAll="0" defaultSubtotal="0"/>
  </pivotFields>
  <rowFields count="1">
    <field x="1"/>
  </rowFields>
  <rowItems count="5">
    <i>
      <x v="2"/>
    </i>
    <i>
      <x v="3"/>
    </i>
    <i>
      <x v="1"/>
    </i>
    <i>
      <x/>
    </i>
    <i t="grand">
      <x/>
    </i>
  </rowItems>
  <colFields count="1">
    <field x="-2"/>
  </colFields>
  <colItems count="2">
    <i>
      <x/>
    </i>
    <i i="1">
      <x v="1"/>
    </i>
  </colItems>
  <dataFields count="2">
    <dataField name="Sum of Profit" fld="14" baseField="0" baseItem="0" numFmtId="164"/>
    <dataField name="Sum of Spend" fld="2" baseField="0" baseItem="0" numFmtId="164"/>
  </dataFields>
  <formats count="1">
    <format dxfId="11">
      <pivotArea outline="0" collapsedLevelsAreSubtotals="1" fieldPosition="0">
        <references count="1">
          <reference field="4294967294" count="1" selected="0">
            <x v="0"/>
          </reference>
        </references>
      </pivotArea>
    </format>
  </formats>
  <chartFormats count="8">
    <chartFormat chart="10" format="2"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 chart="10" format="3" series="1">
      <pivotArea type="data" outline="0" fieldPosition="0">
        <references count="1">
          <reference field="4294967294" count="1" selected="0">
            <x v="1"/>
          </reference>
        </references>
      </pivotArea>
    </chartFormat>
    <chartFormat chart="13" format="11" series="1">
      <pivotArea type="data" outline="0" fieldPosition="0">
        <references count="2">
          <reference field="4294967294" count="1" selected="0">
            <x v="0"/>
          </reference>
          <reference field="1" count="1" selected="0">
            <x v="1"/>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674E05-CA84-4474-8446-D65B0133170A}" name="PivotTable1" cacheId="4"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hannel">
  <location ref="T22:V27" firstHeaderRow="0" firstDataRow="1" firstDataCol="1"/>
  <pivotFields count="15">
    <pivotField showAll="0"/>
    <pivotField axis="axisRow" showAll="0" sortType="descending">
      <items count="5">
        <item x="3"/>
        <item x="0"/>
        <item x="2"/>
        <item x="1"/>
        <item t="default"/>
      </items>
      <autoSortScope>
        <pivotArea dataOnly="0" outline="0" fieldPosition="0">
          <references count="1">
            <reference field="4294967294" count="1" selected="0">
              <x v="1"/>
            </reference>
          </references>
        </pivotArea>
      </autoSortScope>
    </pivotField>
    <pivotField dataField="1" numFmtId="164" showAll="0"/>
    <pivotField numFmtId="1" showAll="0"/>
    <pivotField numFmtId="1" showAll="0"/>
    <pivotField numFmtId="1" showAll="0"/>
    <pivotField dataField="1" numFmtId="165" showAll="0"/>
    <pivotField numFmtId="9" showAll="0"/>
    <pivotField numFmtId="9" showAll="0"/>
    <pivotField numFmtId="1" showAll="0"/>
    <pivotField numFmtId="1" showAll="0"/>
    <pivotField numFmtId="9" showAll="0"/>
    <pivotField numFmtId="1" showAll="0"/>
    <pivotField numFmtId="1" showAll="0"/>
    <pivotField dragToRow="0" dragToCol="0" dragToPage="0" showAll="0" defaultSubtotal="0"/>
  </pivotFields>
  <rowFields count="1">
    <field x="1"/>
  </rowFields>
  <rowItems count="5">
    <i>
      <x v="3"/>
    </i>
    <i>
      <x v="2"/>
    </i>
    <i>
      <x/>
    </i>
    <i>
      <x v="1"/>
    </i>
    <i t="grand">
      <x/>
    </i>
  </rowItems>
  <colFields count="1">
    <field x="-2"/>
  </colFields>
  <colItems count="2">
    <i>
      <x/>
    </i>
    <i i="1">
      <x v="1"/>
    </i>
  </colItems>
  <dataFields count="2">
    <dataField name="Sum of Spend" fld="2" baseField="0" baseItem="0" numFmtId="164"/>
    <dataField name="Sum of Sales Generated" fld="6" baseField="0" baseItem="0" numFmtId="164"/>
  </dataFields>
  <formats count="1">
    <format dxfId="9">
      <pivotArea outline="0" collapsedLevelsAreSubtotals="1" fieldPosition="0">
        <references count="1">
          <reference field="4294967294" count="1" selected="0">
            <x v="1"/>
          </reference>
        </references>
      </pivotArea>
    </format>
  </formats>
  <chartFormats count="2">
    <chartFormat chart="13" format="9"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28FE6A5-9FA3-413D-80F0-29D4B119FA29}"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P9:U14" firstHeaderRow="0" firstDataRow="1" firstDataCol="1"/>
  <pivotFields count="15">
    <pivotField showAll="0"/>
    <pivotField axis="axisRow" showAll="0">
      <items count="5">
        <item x="3"/>
        <item x="0"/>
        <item x="2"/>
        <item x="1"/>
        <item t="default"/>
      </items>
    </pivotField>
    <pivotField dataField="1" numFmtId="164" showAll="0"/>
    <pivotField dataField="1" numFmtId="1" showAll="0"/>
    <pivotField dataField="1" numFmtId="1" showAll="0"/>
    <pivotField dataField="1" numFmtId="1" showAll="0"/>
    <pivotField dataField="1" numFmtId="165" showAll="0"/>
    <pivotField numFmtId="9" showAll="0"/>
    <pivotField numFmtId="9" showAll="0"/>
    <pivotField numFmtId="1" showAll="0"/>
    <pivotField numFmtId="1" showAll="0"/>
    <pivotField numFmtId="9" showAll="0"/>
    <pivotField numFmtId="1" showAll="0"/>
    <pivotField numFmtId="1" showAll="0"/>
    <pivotField dragToRow="0" dragToCol="0" dragToPage="0" showAll="0" defaultSubtotal="0"/>
  </pivotFields>
  <rowFields count="1">
    <field x="1"/>
  </rowFields>
  <rowItems count="5">
    <i>
      <x/>
    </i>
    <i>
      <x v="1"/>
    </i>
    <i>
      <x v="2"/>
    </i>
    <i>
      <x v="3"/>
    </i>
    <i t="grand">
      <x/>
    </i>
  </rowItems>
  <colFields count="1">
    <field x="-2"/>
  </colFields>
  <colItems count="5">
    <i>
      <x/>
    </i>
    <i i="1">
      <x v="1"/>
    </i>
    <i i="2">
      <x v="2"/>
    </i>
    <i i="3">
      <x v="3"/>
    </i>
    <i i="4">
      <x v="4"/>
    </i>
  </colItems>
  <dataFields count="5">
    <dataField name="Total Spend" fld="2" baseField="1" baseItem="0" numFmtId="164"/>
    <dataField name="Total Impressions" fld="3" baseField="1" baseItem="0" numFmtId="1"/>
    <dataField name="Total Clicks" fld="4" baseField="1" baseItem="0" numFmtId="1"/>
    <dataField name="Total  Conversions" fld="5" baseField="1" baseItem="0" numFmtId="1"/>
    <dataField name="Total Sales Generated" fld="6" baseField="1" baseItem="0" numFmtId="165"/>
  </dataFields>
  <chartFormats count="5">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 chart="8" format="12" series="1">
      <pivotArea type="data" outline="0" fieldPosition="0">
        <references count="1">
          <reference field="4294967294" count="1" selected="0">
            <x v="2"/>
          </reference>
        </references>
      </pivotArea>
    </chartFormat>
    <chartFormat chart="8" format="13" series="1">
      <pivotArea type="data" outline="0" fieldPosition="0">
        <references count="1">
          <reference field="4294967294" count="1" selected="0">
            <x v="3"/>
          </reference>
        </references>
      </pivotArea>
    </chartFormat>
    <chartFormat chart="8"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64D64175-9E8D-460C-93A1-F300D38963E1}"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P2:V7" firstHeaderRow="0" firstDataRow="1" firstDataCol="1"/>
  <pivotFields count="15">
    <pivotField showAll="0"/>
    <pivotField axis="axisRow" showAll="0">
      <items count="5">
        <item x="3"/>
        <item x="0"/>
        <item x="2"/>
        <item x="1"/>
        <item t="default"/>
      </items>
    </pivotField>
    <pivotField numFmtId="164" showAll="0"/>
    <pivotField numFmtId="1" showAll="0"/>
    <pivotField numFmtId="1" showAll="0"/>
    <pivotField numFmtId="1" showAll="0"/>
    <pivotField numFmtId="165" showAll="0"/>
    <pivotField dataField="1" numFmtId="9" showAll="0"/>
    <pivotField dataField="1" numFmtId="9" showAll="0"/>
    <pivotField dataField="1" numFmtId="1" showAll="0"/>
    <pivotField dataField="1" numFmtId="1" showAll="0"/>
    <pivotField dataField="1" numFmtId="9" showAll="0"/>
    <pivotField dataField="1" numFmtId="1" showAll="0"/>
    <pivotField numFmtId="1" showAll="0"/>
    <pivotField dragToRow="0" dragToCol="0" dragToPage="0" showAll="0" defaultSubtotal="0"/>
  </pivotFields>
  <rowFields count="1">
    <field x="1"/>
  </rowFields>
  <rowItems count="5">
    <i>
      <x/>
    </i>
    <i>
      <x v="1"/>
    </i>
    <i>
      <x v="2"/>
    </i>
    <i>
      <x v="3"/>
    </i>
    <i t="grand">
      <x/>
    </i>
  </rowItems>
  <colFields count="1">
    <field x="-2"/>
  </colFields>
  <colItems count="6">
    <i>
      <x/>
    </i>
    <i i="1">
      <x v="1"/>
    </i>
    <i i="2">
      <x v="2"/>
    </i>
    <i i="3">
      <x v="3"/>
    </i>
    <i i="4">
      <x v="4"/>
    </i>
    <i i="5">
      <x v="5"/>
    </i>
  </colItems>
  <dataFields count="6">
    <dataField name="Average of CTR (Click-Through Rate)" fld="7" subtotal="average" baseField="1" baseItem="0" numFmtId="9"/>
    <dataField name="Average of Conversion Rate (CR)" fld="8" subtotal="average" baseField="1" baseItem="0" numFmtId="9"/>
    <dataField name="Average of CPC (Cost per Click)" fld="9" subtotal="average" baseField="1" baseItem="0" numFmtId="1"/>
    <dataField name="Average of CPA (Cost per Acquisition/Conversion)" fld="10" subtotal="average" baseField="1" baseItem="0" numFmtId="1"/>
    <dataField name="Average of ROI (Return on Investment)" fld="11" subtotal="average" baseField="1" baseItem="0" numFmtId="9"/>
    <dataField name="Average of ROAS (Return on Ad Spend)" fld="12" subtotal="average" baseField="1" baseItem="0" numFmtId="1"/>
  </dataFields>
  <chartFormats count="6">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 chart="4" format="15" series="1">
      <pivotArea type="data" outline="0" fieldPosition="0">
        <references count="1">
          <reference field="4294967294" count="1" selected="0">
            <x v="3"/>
          </reference>
        </references>
      </pivotArea>
    </chartFormat>
    <chartFormat chart="4" format="16" series="1">
      <pivotArea type="data" outline="0" fieldPosition="0">
        <references count="1">
          <reference field="4294967294" count="1" selected="0">
            <x v="4"/>
          </reference>
        </references>
      </pivotArea>
    </chartFormat>
    <chartFormat chart="4"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17174951-7CC4-41DF-8C68-BD32C3090A23}"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hannel">
  <location ref="P16:R21" firstHeaderRow="0" firstDataRow="1" firstDataCol="1"/>
  <pivotFields count="15">
    <pivotField showAll="0"/>
    <pivotField axis="axisRow" showAll="0" sortType="ascending">
      <items count="5">
        <item x="3"/>
        <item x="0"/>
        <item x="2"/>
        <item x="1"/>
        <item t="default"/>
      </items>
      <autoSortScope>
        <pivotArea dataOnly="0" outline="0" fieldPosition="0">
          <references count="1">
            <reference field="4294967294" count="1" selected="0">
              <x v="1"/>
            </reference>
          </references>
        </pivotArea>
      </autoSortScope>
    </pivotField>
    <pivotField dataField="1" numFmtId="164" showAll="0"/>
    <pivotField numFmtId="1" showAll="0"/>
    <pivotField numFmtId="1" showAll="0"/>
    <pivotField numFmtId="1" showAll="0"/>
    <pivotField dataField="1" numFmtId="165" showAll="0"/>
    <pivotField numFmtId="9" showAll="0"/>
    <pivotField numFmtId="9" showAll="0"/>
    <pivotField numFmtId="1" showAll="0"/>
    <pivotField numFmtId="1" showAll="0"/>
    <pivotField numFmtId="9" showAll="0"/>
    <pivotField numFmtId="1" showAll="0"/>
    <pivotField numFmtId="1" showAll="0"/>
    <pivotField dragToRow="0" dragToCol="0" dragToPage="0" showAll="0" defaultSubtotal="0"/>
  </pivotFields>
  <rowFields count="1">
    <field x="1"/>
  </rowFields>
  <rowItems count="5">
    <i>
      <x v="1"/>
    </i>
    <i>
      <x/>
    </i>
    <i>
      <x v="2"/>
    </i>
    <i>
      <x v="3"/>
    </i>
    <i t="grand">
      <x/>
    </i>
  </rowItems>
  <colFields count="1">
    <field x="-2"/>
  </colFields>
  <colItems count="2">
    <i>
      <x/>
    </i>
    <i i="1">
      <x v="1"/>
    </i>
  </colItems>
  <dataFields count="2">
    <dataField name="Total Spend" fld="2" baseField="1" baseItem="0" numFmtId="164"/>
    <dataField name="Total Sales Generated" fld="6" baseField="1" baseItem="0" numFmtId="165"/>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E2D679-0FEB-4309-A796-F45AA92319F8}" sourceName="Region">
  <pivotTables>
    <pivotTable tabId="1" name="PivotTable3"/>
    <pivotTable tabId="1" name="PivotTable1"/>
    <pivotTable tabId="1" name="PivotTable12"/>
    <pivotTable tabId="1" name="PivotTable14"/>
    <pivotTable tabId="1" name="PivotTable16"/>
    <pivotTable tabId="1" name="PivotTable2"/>
    <pivotTable tabId="1" name="PivotTable4"/>
    <pivotTable tabId="1" name="PivotTable5"/>
    <pivotTable tabId="1" name="PivotTable6"/>
    <pivotTable tabId="1" name="PivotTable7"/>
    <pivotTable tabId="1" name="PivotTable8"/>
    <pivotTable tabId="1" name="PivotTable9"/>
    <pivotTable tabId="1" name="PivotTable26"/>
    <pivotTable tabId="1" name="PivotTable27"/>
    <pivotTable tabId="1" name="PivotTable28"/>
    <pivotTable tabId="1" name="PivotTable29"/>
  </pivotTables>
  <data>
    <tabular pivotCacheId="915713884">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A9F13FF-6ECA-4E73-8E25-E8A5448EDC9F}" sourceName="Product Category">
  <pivotTables>
    <pivotTable tabId="1" name="PivotTable1"/>
    <pivotTable tabId="1" name="PivotTable12"/>
    <pivotTable tabId="1" name="PivotTable14"/>
    <pivotTable tabId="1" name="PivotTable16"/>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26"/>
    <pivotTable tabId="1" name="PivotTable27"/>
    <pivotTable tabId="1" name="PivotTable28"/>
    <pivotTable tabId="1" name="PivotTable29"/>
  </pivotTables>
  <data>
    <tabular pivotCacheId="915713884">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AB352175-AD22-4718-9145-A7A8AC2CBCC1}" sourceName="Sales Rep">
  <pivotTables>
    <pivotTable tabId="1" name="PivotTable6"/>
    <pivotTable tabId="1" name="PivotTable1"/>
    <pivotTable tabId="1" name="PivotTable12"/>
    <pivotTable tabId="1" name="PivotTable14"/>
    <pivotTable tabId="1" name="PivotTable16"/>
    <pivotTable tabId="1" name="PivotTable2"/>
    <pivotTable tabId="1" name="PivotTable3"/>
    <pivotTable tabId="1" name="PivotTable4"/>
    <pivotTable tabId="1" name="PivotTable5"/>
    <pivotTable tabId="1" name="PivotTable7"/>
    <pivotTable tabId="1" name="PivotTable8"/>
    <pivotTable tabId="1" name="PivotTable9"/>
    <pivotTable tabId="1" name="PivotTable26"/>
    <pivotTable tabId="1" name="PivotTable27"/>
    <pivotTable tabId="1" name="PivotTable28"/>
    <pivotTable tabId="1" name="PivotTable29"/>
  </pivotTables>
  <data>
    <tabular pivotCacheId="915713884">
      <items count="5">
        <i x="0" s="1"/>
        <i x="4"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Awareness" xr10:uid="{03561F9A-0241-4559-95C7-17BD528303DE}" sourceName="Product Awareness">
  <pivotTables>
    <pivotTable tabId="2" name="PivotTable2"/>
    <pivotTable tabId="2" name="PivotTable1"/>
    <pivotTable tabId="2" name="PivotTable4"/>
  </pivotTables>
  <data>
    <tabular pivotCacheId="54088443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tisfaction_Score" xr10:uid="{B3AB81F8-9AD8-43FE-8777-CED6A7A1A4FB}" sourceName="Satisfaction Score">
  <pivotTables>
    <pivotTable tabId="2" name="PivotTable2"/>
    <pivotTable tabId="2" name="PivotTable1"/>
    <pivotTable tabId="2" name="PivotTable4"/>
  </pivotTables>
  <data>
    <tabular pivotCacheId="540884434">
      <items count="5">
        <i x="0" s="1"/>
        <i x="1" s="1"/>
        <i x="3" s="1"/>
        <i x="2"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kelihood_to_Recommend" xr10:uid="{4B5CE0B9-6936-4E8D-A024-230748B51C60}" sourceName="Likelihood to Recommend">
  <pivotTables>
    <pivotTable tabId="2" name="PivotTable2"/>
    <pivotTable tabId="2" name="PivotTable1"/>
    <pivotTable tabId="2" name="PivotTable4"/>
  </pivotTables>
  <data>
    <tabular pivotCacheId="540884434">
      <items count="11">
        <i x="5" s="1"/>
        <i x="8" s="1"/>
        <i x="1" s="1"/>
        <i x="7" s="1"/>
        <i x="3" s="1"/>
        <i x="2" s="1"/>
        <i x="0" s="1"/>
        <i x="9" s="1"/>
        <i x="10" s="1"/>
        <i x="6"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BC87EF6D-3B42-427B-B5CA-B1486CD56449}" sourceName="Channel">
  <pivotTables>
    <pivotTable tabId="3" name="PivotTable6"/>
    <pivotTable tabId="3" name="PivotTable5"/>
    <pivotTable tabId="3" name="PivotTable7"/>
    <pivotTable tabId="3" name="PivotTable1"/>
    <pivotTable tabId="3" name="PivotTable2"/>
    <pivotTable tabId="3" name="PivotTable3"/>
    <pivotTable tabId="3" name="PivotTable4"/>
    <pivotTable tabId="3" name="PivotTable8"/>
    <pivotTable tabId="3" name="PivotTable9"/>
    <pivotTable tabId="3" name="PivotTable10"/>
  </pivotTables>
  <data>
    <tabular pivotCacheId="1391284852">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573E816-3DE6-4D00-A4B6-0F359B1FF7E8}" cache="Slicer_Region" caption="Region" style="SlicerStyleLight5" rowHeight="241300"/>
  <slicer name="Product Category" xr10:uid="{612A69B0-5B11-4C95-B383-67E0341C3F10}" cache="Slicer_Product_Category" caption="Product Category" style="SlicerStyleLight3" rowHeight="241300"/>
  <slicer name="Sales Rep" xr10:uid="{9CDDDC81-56D5-4805-A963-653E890C174A}" cache="Slicer_Sales_Rep" caption="Sales Rep"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Awareness" xr10:uid="{0A55C045-E50E-4D50-9281-12118CBA056D}" cache="Slicer_Product_Awareness" caption="Product Awareness" style="SlicerStyleLight3" rowHeight="241300"/>
  <slicer name="Satisfaction Score" xr10:uid="{3A44A8F7-67E2-47A7-B507-1AC72F03F9D8}" cache="Slicer_Satisfaction_Score" caption="Satisfaction Score" style="SlicerStyleLight5" rowHeight="241300"/>
  <slicer name="Likelihood to Recommend" xr10:uid="{996927F1-7850-4D81-8780-1BAD41E57B33}" cache="Slicer_Likelihood_to_Recommend" caption="Likelihood to Recommend"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811278FC-8BB0-4F81-B67C-1A12C6BFDF6A}" cache="Slicer_Channel" caption="Channel"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8D757B-081D-4DE4-A741-7CCB083856C7}" name="SalesData" displayName="SalesData" ref="A1:K201" totalsRowShown="0" headerRowDxfId="47" dataDxfId="45" headerRowBorderDxfId="46" tableBorderDxfId="44">
  <autoFilter ref="A1:K201" xr:uid="{668D757B-081D-4DE4-A741-7CCB083856C7}"/>
  <tableColumns count="11">
    <tableColumn id="1" xr3:uid="{FF7FA6C0-EB9A-4283-B910-11EFC4CBFD70}" name="Date" dataDxfId="43"/>
    <tableColumn id="2" xr3:uid="{2C6BAA2B-759B-4E9F-BE3E-613DB1F5D228}" name="Region" dataDxfId="42"/>
    <tableColumn id="3" xr3:uid="{7F1772C4-C4E3-46F4-B41E-42ECA2815688}" name="Sales Rep" dataDxfId="41"/>
    <tableColumn id="4" xr3:uid="{C69018D9-552F-462E-9158-BB94D7037398}" name="Product Category" dataDxfId="40"/>
    <tableColumn id="5" xr3:uid="{F64E695B-9352-4369-9CE0-73DF1CA45232}" name="Units Sold" dataDxfId="39"/>
    <tableColumn id="6" xr3:uid="{FEA5A549-D8C2-4920-9363-C72FE6012C40}" name="Sales Revenue" dataDxfId="38"/>
    <tableColumn id="8" xr3:uid="{7B3CE34B-AF1A-4404-B2CB-42BCDEE487A9}" name="Sales per unit" dataDxfId="37">
      <calculatedColumnFormula>F2/E2</calculatedColumnFormula>
    </tableColumn>
    <tableColumn id="7" xr3:uid="{E632B5DB-7DFD-4B5D-AE64-67F423E0F871}" name="Profit" dataDxfId="36"/>
    <tableColumn id="10" xr3:uid="{60081068-C440-4D33-8E6F-02FA5F2CEE41}" name="Quarter" dataDxfId="35">
      <calculatedColumnFormula>"Q"&amp;ROUND(INT(MONTH(A2)+2)/3,0)</calculatedColumnFormula>
    </tableColumn>
    <tableColumn id="11" xr3:uid="{EDBBB215-53D4-4328-BA67-DC4BF55D3A9D}" name="Year" dataDxfId="34">
      <calculatedColumnFormula>YEAR(A2)</calculatedColumnFormula>
    </tableColumn>
    <tableColumn id="13" xr3:uid="{2C9473C9-CB06-472C-93A7-D4EC8BF1D521}" name="Profitmargin" dataDxfId="33">
      <calculatedColumnFormula>IF(F2=0,0,H2/F2)</calculatedColumnFormula>
    </tableColumn>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D26AA6-00B4-4BAC-842C-F87C2D2984C7}" name="Table2" displayName="Table2" ref="A1:G151" totalsRowShown="0" headerRowDxfId="32" headerRowBorderDxfId="31" tableBorderDxfId="30">
  <autoFilter ref="A1:G151" xr:uid="{89D26AA6-00B4-4BAC-842C-F87C2D2984C7}"/>
  <tableColumns count="7">
    <tableColumn id="1" xr3:uid="{37651A65-16EE-462A-9955-26BEEBE040B2}" name="Respondent ID"/>
    <tableColumn id="2" xr3:uid="{B5260633-B3B7-4D70-982E-DB13D1237E54}" name="Age" dataDxfId="29"/>
    <tableColumn id="3" xr3:uid="{13A74278-2CE9-4614-AB9B-EF15B11BBEA2}" name="Gender"/>
    <tableColumn id="4" xr3:uid="{67057CA6-4F21-4032-8478-D3683F9B6B7F}" name="Occupation"/>
    <tableColumn id="5" xr3:uid="{0EB99D1A-1644-4C19-B1E6-4977FE5518A6}" name="Product Awareness"/>
    <tableColumn id="6" xr3:uid="{93DB0BB7-19BF-4D6F-812F-F767B23A4A3E}" name="Satisfaction Score" dataDxfId="28"/>
    <tableColumn id="7" xr3:uid="{DB8297A3-9204-430E-A9C4-CC52257E03A2}" name="Likelihood to Recommend" dataDxfId="2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3BD900-DF46-43AD-849F-E03B7AD0CC07}" name="Marketing_data" displayName="Marketing_data" ref="A1:N101" totalsRowShown="0" headerRowDxfId="26" headerRowBorderDxfId="25" tableBorderDxfId="24">
  <autoFilter ref="A1:N101" xr:uid="{00000000-0001-0000-0200-000000000000}"/>
  <tableColumns count="14">
    <tableColumn id="1" xr3:uid="{9E8168CC-C404-48D3-AB45-726E447EC6D9}" name="Campaign ID"/>
    <tableColumn id="2" xr3:uid="{EA55DA27-0DB7-4FE5-BD93-74D74CC45DA1}" name="Channel"/>
    <tableColumn id="3" xr3:uid="{E8167634-389F-42C0-A897-96BD18529764}" name="Spend" dataDxfId="23"/>
    <tableColumn id="4" xr3:uid="{C658FC9D-A191-4DCE-B746-F314C65D6CC7}" name="Impressions" dataDxfId="22"/>
    <tableColumn id="5" xr3:uid="{1915822D-A8D1-4696-8877-8D87C4E74947}" name="Clicks" dataDxfId="21"/>
    <tableColumn id="6" xr3:uid="{9EF87619-5EFE-401B-BFBE-D5764C5BCE5B}" name="Conversions" dataDxfId="20"/>
    <tableColumn id="7" xr3:uid="{970CFD80-C053-435F-9B11-06D83FAB6E1B}" name="Sales Generated" dataDxfId="19"/>
    <tableColumn id="8" xr3:uid="{04DA0459-7AFF-49F2-8C46-536D40A7E575}" name="CTR (Click-Through Rate)" dataDxfId="18">
      <calculatedColumnFormula>(E2/D2)</calculatedColumnFormula>
    </tableColumn>
    <tableColumn id="9" xr3:uid="{4C462C42-3E1C-4849-AD7C-92666320A78E}" name="Conversion Rate (CR)" dataDxfId="17">
      <calculatedColumnFormula>F2/E2</calculatedColumnFormula>
    </tableColumn>
    <tableColumn id="10" xr3:uid="{4032F538-F206-49B0-8DD8-69ED1923B062}" name="CPC (Cost per Click)" dataDxfId="16">
      <calculatedColumnFormula>C2/E2</calculatedColumnFormula>
    </tableColumn>
    <tableColumn id="11" xr3:uid="{A35C646D-632C-4733-83C6-D004305990C4}" name="CPA (Cost per Acquisition/Conversion)" dataDxfId="15">
      <calculatedColumnFormula>C2/F2</calculatedColumnFormula>
    </tableColumn>
    <tableColumn id="12" xr3:uid="{6EBE0F57-D924-47C9-A46D-912EDF8116CD}" name="ROI (Return on Investment)" dataDxfId="14">
      <calculatedColumnFormula>(G2-C2)/C2</calculatedColumnFormula>
    </tableColumn>
    <tableColumn id="13" xr3:uid="{EBED184E-43DD-4206-AB74-B53F087CF9AA}" name="ROAS (Return on Ad Spend)" dataDxfId="13">
      <calculatedColumnFormula>G2/C2</calculatedColumnFormula>
    </tableColumn>
    <tableColumn id="14" xr3:uid="{5AD8B4A4-7A13-419C-B4CB-1E44683786BA}" name="spent- Sales generated " dataDxfId="12">
      <calculatedColumnFormula>C2-G2</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2007 - 2010">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A477852-B0A9-42B1-B61A-37DF6838FEA6}" sourceName="Date">
  <pivotTables>
    <pivotTable tabId="1" name="PivotTable6"/>
    <pivotTable tabId="1" name="PivotTable1"/>
    <pivotTable tabId="1" name="PivotTable12"/>
    <pivotTable tabId="1" name="PivotTable14"/>
    <pivotTable tabId="1" name="PivotTable16"/>
    <pivotTable tabId="1" name="PivotTable2"/>
    <pivotTable tabId="1" name="PivotTable3"/>
    <pivotTable tabId="1" name="PivotTable4"/>
    <pivotTable tabId="1" name="PivotTable5"/>
    <pivotTable tabId="1" name="PivotTable7"/>
    <pivotTable tabId="1" name="PivotTable8"/>
    <pivotTable tabId="1" name="PivotTable9"/>
    <pivotTable tabId="1" name="PivotTable26"/>
    <pivotTable tabId="1" name="PivotTable27"/>
    <pivotTable tabId="1" name="PivotTable28"/>
    <pivotTable tabId="1" name="PivotTable29"/>
  </pivotTables>
  <state minimalRefreshVersion="6" lastRefreshVersion="6" pivotCacheId="915713884"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13549BB-C631-4219-93E3-B578217A4017}" cache="NativeTimeline_Date" caption="Date" level="1" selectionLevel="1" scrollPosition="2024-01-01T00:00:00" style="TimeSlicerStyleLight4"/>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table" Target="../tables/table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5" Type="http://schemas.openxmlformats.org/officeDocument/2006/relationships/table" Target="../tables/table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7.xml"/><Relationship Id="rId3" Type="http://schemas.openxmlformats.org/officeDocument/2006/relationships/pivotTable" Target="../pivotTables/pivotTable22.xml"/><Relationship Id="rId7" Type="http://schemas.openxmlformats.org/officeDocument/2006/relationships/pivotTable" Target="../pivotTables/pivotTable26.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ivotTable" Target="../pivotTables/pivotTable25.xml"/><Relationship Id="rId11" Type="http://schemas.openxmlformats.org/officeDocument/2006/relationships/table" Target="../tables/table3.xml"/><Relationship Id="rId5" Type="http://schemas.openxmlformats.org/officeDocument/2006/relationships/pivotTable" Target="../pivotTables/pivotTable24.xml"/><Relationship Id="rId10" Type="http://schemas.openxmlformats.org/officeDocument/2006/relationships/pivotTable" Target="../pivotTables/pivotTable29.xml"/><Relationship Id="rId4" Type="http://schemas.openxmlformats.org/officeDocument/2006/relationships/pivotTable" Target="../pivotTables/pivotTable23.xml"/><Relationship Id="rId9" Type="http://schemas.openxmlformats.org/officeDocument/2006/relationships/pivotTable" Target="../pivotTables/pivotTable28.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01"/>
  <sheetViews>
    <sheetView tabSelected="1" workbookViewId="0">
      <selection activeCell="B5" sqref="B5"/>
    </sheetView>
  </sheetViews>
  <sheetFormatPr defaultRowHeight="14.5" x14ac:dyDescent="0.35"/>
  <cols>
    <col min="1" max="1" width="17.81640625" style="1" bestFit="1" customWidth="1"/>
    <col min="2" max="2" width="10.6328125" style="1" customWidth="1"/>
    <col min="3" max="3" width="12.7265625" style="1" customWidth="1"/>
    <col min="4" max="4" width="19.453125" style="1" customWidth="1"/>
    <col min="5" max="5" width="12.453125" style="1" customWidth="1"/>
    <col min="6" max="7" width="16.90625" style="1" customWidth="1"/>
    <col min="8" max="8" width="11.81640625" style="5" bestFit="1" customWidth="1"/>
    <col min="9" max="9" width="8.7265625" style="1"/>
    <col min="10" max="10" width="11.7265625" style="1" bestFit="1" customWidth="1"/>
    <col min="11" max="11" width="13.6328125" style="8" bestFit="1" customWidth="1"/>
    <col min="12" max="12" width="24" style="1" bestFit="1" customWidth="1"/>
    <col min="13" max="13" width="11.81640625" style="1" bestFit="1" customWidth="1"/>
    <col min="14" max="14" width="8.7265625" style="1"/>
    <col min="15" max="15" width="24" style="1" bestFit="1" customWidth="1"/>
    <col min="16" max="21" width="8.7265625" style="1"/>
    <col min="22" max="22" width="10.7265625" style="1" bestFit="1" customWidth="1"/>
    <col min="23" max="23" width="17.54296875" style="1" bestFit="1" customWidth="1"/>
    <col min="24" max="24" width="9.81640625" style="1" bestFit="1" customWidth="1"/>
    <col min="25" max="25" width="8.6328125" style="1" bestFit="1" customWidth="1"/>
    <col min="26" max="26" width="14" style="1" bestFit="1" customWidth="1"/>
    <col min="27" max="27" width="17.453125" style="1" bestFit="1" customWidth="1"/>
    <col min="28" max="28" width="9.81640625" style="1" bestFit="1" customWidth="1"/>
    <col min="29" max="29" width="8.6328125" style="1" bestFit="1" customWidth="1"/>
    <col min="30" max="30" width="7.36328125" style="1" bestFit="1" customWidth="1"/>
    <col min="31" max="31" width="10.7265625" style="1" bestFit="1" customWidth="1"/>
    <col min="32" max="16384" width="8.7265625" style="1"/>
  </cols>
  <sheetData>
    <row r="1" spans="1:31" x14ac:dyDescent="0.35">
      <c r="A1" s="2" t="s">
        <v>0</v>
      </c>
      <c r="B1" s="2" t="s">
        <v>1</v>
      </c>
      <c r="C1" s="2" t="s">
        <v>2</v>
      </c>
      <c r="D1" s="2" t="s">
        <v>3</v>
      </c>
      <c r="E1" s="2" t="s">
        <v>4</v>
      </c>
      <c r="F1" s="2" t="s">
        <v>5</v>
      </c>
      <c r="G1" s="2" t="s">
        <v>87</v>
      </c>
      <c r="H1" s="6" t="s">
        <v>6</v>
      </c>
      <c r="I1" s="2" t="s">
        <v>77</v>
      </c>
      <c r="J1" s="2" t="s">
        <v>76</v>
      </c>
      <c r="K1" s="7" t="s">
        <v>79</v>
      </c>
      <c r="V1"/>
      <c r="W1"/>
      <c r="X1"/>
    </row>
    <row r="2" spans="1:31" x14ac:dyDescent="0.35">
      <c r="A2" s="4">
        <v>45292</v>
      </c>
      <c r="B2" s="1" t="s">
        <v>7</v>
      </c>
      <c r="C2" s="1" t="s">
        <v>11</v>
      </c>
      <c r="D2" s="1" t="s">
        <v>16</v>
      </c>
      <c r="E2" s="3">
        <v>1</v>
      </c>
      <c r="F2" s="5">
        <v>2879</v>
      </c>
      <c r="G2" s="5">
        <f t="shared" ref="G2:G33" si="0">F2/E2</f>
        <v>2879</v>
      </c>
      <c r="H2" s="5">
        <v>452.05779813391712</v>
      </c>
      <c r="I2" s="1" t="str">
        <f>"Q"&amp;ROUND(INT(MONTH(A2)+2)/3,0)</f>
        <v>Q1</v>
      </c>
      <c r="J2" s="1">
        <f t="shared" ref="J2:J33" si="1">YEAR(A2)</f>
        <v>2024</v>
      </c>
      <c r="K2" s="8">
        <f t="shared" ref="K2:K33" si="2">IF(F2=0,0,H2/F2)</f>
        <v>0.15701903373876941</v>
      </c>
      <c r="L2" s="1" t="s">
        <v>78</v>
      </c>
      <c r="V2"/>
      <c r="W2"/>
      <c r="X2"/>
    </row>
    <row r="3" spans="1:31" x14ac:dyDescent="0.35">
      <c r="A3" s="4">
        <v>45293</v>
      </c>
      <c r="B3" s="1" t="s">
        <v>8</v>
      </c>
      <c r="C3" s="1" t="s">
        <v>12</v>
      </c>
      <c r="D3" s="1" t="s">
        <v>17</v>
      </c>
      <c r="E3" s="3">
        <v>33</v>
      </c>
      <c r="F3" s="5">
        <v>4236</v>
      </c>
      <c r="G3" s="5">
        <f t="shared" si="0"/>
        <v>128.36363636363637</v>
      </c>
      <c r="H3" s="5">
        <v>570.48210993371629</v>
      </c>
      <c r="I3" s="1" t="str">
        <f t="shared" ref="I3:I33" si="3">"Q"&amp;ROUND(INT(MONTH(A3)+2)/3,0)</f>
        <v>Q1</v>
      </c>
      <c r="J3" s="1">
        <f t="shared" si="1"/>
        <v>2024</v>
      </c>
      <c r="K3" s="8">
        <f t="shared" si="2"/>
        <v>0.13467471905895095</v>
      </c>
      <c r="L3" s="1" t="s">
        <v>80</v>
      </c>
      <c r="V3" s="11" t="s">
        <v>77</v>
      </c>
      <c r="W3" t="s">
        <v>93</v>
      </c>
      <c r="X3"/>
      <c r="Z3" s="11" t="s">
        <v>99</v>
      </c>
      <c r="AA3" s="11" t="s">
        <v>100</v>
      </c>
      <c r="AB3"/>
      <c r="AC3"/>
      <c r="AD3"/>
      <c r="AE3"/>
    </row>
    <row r="4" spans="1:31" x14ac:dyDescent="0.35">
      <c r="A4" s="4">
        <v>45294</v>
      </c>
      <c r="B4" s="1" t="s">
        <v>9</v>
      </c>
      <c r="C4" s="1" t="s">
        <v>13</v>
      </c>
      <c r="D4" s="1" t="s">
        <v>17</v>
      </c>
      <c r="E4" s="3">
        <v>40</v>
      </c>
      <c r="F4" s="5">
        <v>4935</v>
      </c>
      <c r="G4" s="5">
        <f t="shared" si="0"/>
        <v>123.375</v>
      </c>
      <c r="H4" s="5">
        <v>1378.607474106281</v>
      </c>
      <c r="I4" s="1" t="str">
        <f t="shared" si="3"/>
        <v>Q1</v>
      </c>
      <c r="J4" s="1">
        <f t="shared" si="1"/>
        <v>2024</v>
      </c>
      <c r="K4" s="8">
        <f t="shared" si="2"/>
        <v>0.27935308492528488</v>
      </c>
      <c r="V4" s="1" t="s">
        <v>89</v>
      </c>
      <c r="W4" s="12">
        <v>1644</v>
      </c>
      <c r="X4"/>
      <c r="Z4" s="11" t="s">
        <v>101</v>
      </c>
      <c r="AA4" t="s">
        <v>18</v>
      </c>
      <c r="AB4" t="s">
        <v>17</v>
      </c>
      <c r="AC4" t="s">
        <v>19</v>
      </c>
      <c r="AD4" t="s">
        <v>16</v>
      </c>
      <c r="AE4" t="s">
        <v>92</v>
      </c>
    </row>
    <row r="5" spans="1:31" x14ac:dyDescent="0.35">
      <c r="A5" s="4">
        <v>45295</v>
      </c>
      <c r="B5" s="1" t="s">
        <v>7</v>
      </c>
      <c r="C5" s="1" t="s">
        <v>12</v>
      </c>
      <c r="D5" s="1" t="s">
        <v>18</v>
      </c>
      <c r="E5" s="3">
        <v>10</v>
      </c>
      <c r="F5" s="5">
        <v>3875</v>
      </c>
      <c r="G5" s="5">
        <f t="shared" si="0"/>
        <v>387.5</v>
      </c>
      <c r="H5" s="5">
        <v>449.68115288777273</v>
      </c>
      <c r="I5" s="1" t="str">
        <f t="shared" si="3"/>
        <v>Q1</v>
      </c>
      <c r="J5" s="1">
        <f t="shared" si="1"/>
        <v>2024</v>
      </c>
      <c r="K5" s="8">
        <f t="shared" si="2"/>
        <v>0.11604674913232844</v>
      </c>
      <c r="V5" s="1" t="s">
        <v>90</v>
      </c>
      <c r="W5" s="12">
        <v>2252</v>
      </c>
      <c r="X5"/>
      <c r="Z5" s="1" t="s">
        <v>90</v>
      </c>
      <c r="AA5" s="12">
        <v>491</v>
      </c>
      <c r="AB5" s="12">
        <v>482</v>
      </c>
      <c r="AC5" s="12">
        <v>629</v>
      </c>
      <c r="AD5" s="12">
        <v>650</v>
      </c>
      <c r="AE5" s="12">
        <v>2252</v>
      </c>
    </row>
    <row r="6" spans="1:31" x14ac:dyDescent="0.35">
      <c r="A6" s="4">
        <v>45296</v>
      </c>
      <c r="B6" s="1" t="s">
        <v>7</v>
      </c>
      <c r="C6" s="1" t="s">
        <v>13</v>
      </c>
      <c r="D6" s="1" t="s">
        <v>19</v>
      </c>
      <c r="E6" s="3">
        <v>43</v>
      </c>
      <c r="F6" s="5">
        <v>2608</v>
      </c>
      <c r="G6" s="5">
        <f t="shared" si="0"/>
        <v>60.651162790697676</v>
      </c>
      <c r="H6" s="5">
        <v>534.38514079984475</v>
      </c>
      <c r="I6" s="1" t="str">
        <f t="shared" si="3"/>
        <v>Q1</v>
      </c>
      <c r="J6" s="1">
        <f t="shared" si="1"/>
        <v>2024</v>
      </c>
      <c r="K6" s="8">
        <f t="shared" si="2"/>
        <v>0.20490227791405091</v>
      </c>
      <c r="L6" s="1" t="s">
        <v>84</v>
      </c>
      <c r="M6" s="5">
        <f>SUM(F2:F201)</f>
        <v>550604</v>
      </c>
      <c r="N6" s="9"/>
      <c r="V6" s="1" t="s">
        <v>91</v>
      </c>
      <c r="W6" s="12">
        <v>1204</v>
      </c>
      <c r="X6"/>
      <c r="Z6" s="1" t="s">
        <v>89</v>
      </c>
      <c r="AA6" s="12">
        <v>389</v>
      </c>
      <c r="AB6" s="12">
        <v>346</v>
      </c>
      <c r="AC6" s="12">
        <v>567</v>
      </c>
      <c r="AD6" s="12">
        <v>342</v>
      </c>
      <c r="AE6" s="12">
        <v>1644</v>
      </c>
    </row>
    <row r="7" spans="1:31" x14ac:dyDescent="0.35">
      <c r="A7" s="4">
        <v>45297</v>
      </c>
      <c r="B7" s="1" t="s">
        <v>8</v>
      </c>
      <c r="C7" s="1" t="s">
        <v>13</v>
      </c>
      <c r="D7" s="1" t="s">
        <v>16</v>
      </c>
      <c r="E7" s="3">
        <v>44</v>
      </c>
      <c r="F7" s="5">
        <v>2879</v>
      </c>
      <c r="G7" s="5">
        <f t="shared" si="0"/>
        <v>65.431818181818187</v>
      </c>
      <c r="H7" s="5">
        <v>524.20649298064711</v>
      </c>
      <c r="I7" s="1" t="str">
        <f>"Q"&amp;ROUND(INT(MONTH(A7)+2)/3,0)</f>
        <v>Q1</v>
      </c>
      <c r="J7" s="1">
        <f t="shared" si="1"/>
        <v>2024</v>
      </c>
      <c r="K7" s="8">
        <f t="shared" si="2"/>
        <v>0.18207936539793232</v>
      </c>
      <c r="L7" s="1" t="s">
        <v>81</v>
      </c>
      <c r="M7" s="5">
        <f>SUM(H2:H201)</f>
        <v>109220.93299177606</v>
      </c>
      <c r="V7" s="1" t="s">
        <v>92</v>
      </c>
      <c r="W7" s="12">
        <v>5100</v>
      </c>
      <c r="X7"/>
      <c r="Z7" s="1" t="s">
        <v>91</v>
      </c>
      <c r="AA7" s="12">
        <v>264</v>
      </c>
      <c r="AB7" s="12">
        <v>266</v>
      </c>
      <c r="AC7" s="12">
        <v>293</v>
      </c>
      <c r="AD7" s="12">
        <v>381</v>
      </c>
      <c r="AE7" s="12">
        <v>1204</v>
      </c>
    </row>
    <row r="8" spans="1:31" x14ac:dyDescent="0.35">
      <c r="A8" s="4">
        <v>45298</v>
      </c>
      <c r="B8" s="1" t="s">
        <v>9</v>
      </c>
      <c r="C8" s="1" t="s">
        <v>14</v>
      </c>
      <c r="D8" s="1" t="s">
        <v>18</v>
      </c>
      <c r="E8" s="3">
        <v>29</v>
      </c>
      <c r="F8" s="5">
        <v>1024</v>
      </c>
      <c r="G8" s="5">
        <f t="shared" si="0"/>
        <v>35.310344827586206</v>
      </c>
      <c r="H8" s="5">
        <v>303.59114074288249</v>
      </c>
      <c r="I8" s="1" t="str">
        <f t="shared" si="3"/>
        <v>Q1</v>
      </c>
      <c r="J8" s="1">
        <f t="shared" si="1"/>
        <v>2024</v>
      </c>
      <c r="K8" s="8">
        <f t="shared" si="2"/>
        <v>0.29647572338172118</v>
      </c>
      <c r="L8" s="1" t="s">
        <v>86</v>
      </c>
      <c r="M8" s="9">
        <f>$M$7/$M$6</f>
        <v>0.19836567295511123</v>
      </c>
      <c r="N8" s="10" t="s">
        <v>85</v>
      </c>
      <c r="V8"/>
      <c r="W8"/>
      <c r="X8"/>
      <c r="Z8" s="1" t="s">
        <v>92</v>
      </c>
      <c r="AA8" s="12">
        <v>1144</v>
      </c>
      <c r="AB8" s="12">
        <v>1094</v>
      </c>
      <c r="AC8" s="12">
        <v>1489</v>
      </c>
      <c r="AD8" s="12">
        <v>1373</v>
      </c>
      <c r="AE8" s="12">
        <v>5100</v>
      </c>
    </row>
    <row r="9" spans="1:31" x14ac:dyDescent="0.35">
      <c r="A9" s="4">
        <v>45299</v>
      </c>
      <c r="B9" s="1" t="s">
        <v>9</v>
      </c>
      <c r="C9" s="1" t="s">
        <v>13</v>
      </c>
      <c r="D9" s="1" t="s">
        <v>17</v>
      </c>
      <c r="E9" s="3">
        <v>13</v>
      </c>
      <c r="F9" s="5">
        <v>3056</v>
      </c>
      <c r="G9" s="5">
        <f t="shared" si="0"/>
        <v>235.07692307692307</v>
      </c>
      <c r="H9" s="5">
        <v>374.07817700511362</v>
      </c>
      <c r="I9" s="1" t="str">
        <f t="shared" si="3"/>
        <v>Q1</v>
      </c>
      <c r="J9" s="1">
        <f t="shared" si="1"/>
        <v>2024</v>
      </c>
      <c r="K9" s="8">
        <f t="shared" si="2"/>
        <v>0.12240778043361047</v>
      </c>
      <c r="L9" s="10" t="s">
        <v>82</v>
      </c>
      <c r="M9" s="5">
        <f>AVERAGE(F2:F201)</f>
        <v>2753.02</v>
      </c>
      <c r="V9"/>
      <c r="W9"/>
      <c r="X9"/>
      <c r="Z9"/>
      <c r="AA9"/>
      <c r="AB9"/>
    </row>
    <row r="10" spans="1:31" x14ac:dyDescent="0.35">
      <c r="A10" s="4">
        <v>45300</v>
      </c>
      <c r="B10" s="1" t="s">
        <v>8</v>
      </c>
      <c r="C10" s="1" t="s">
        <v>12</v>
      </c>
      <c r="D10" s="1" t="s">
        <v>19</v>
      </c>
      <c r="E10" s="3">
        <v>12</v>
      </c>
      <c r="F10" s="5">
        <v>1681</v>
      </c>
      <c r="G10" s="5">
        <f t="shared" si="0"/>
        <v>140.08333333333334</v>
      </c>
      <c r="H10" s="5">
        <v>301.85905239917832</v>
      </c>
      <c r="I10" s="1" t="str">
        <f t="shared" si="3"/>
        <v>Q1</v>
      </c>
      <c r="J10" s="1">
        <f t="shared" si="1"/>
        <v>2024</v>
      </c>
      <c r="K10" s="8">
        <f t="shared" si="2"/>
        <v>0.17957111980914831</v>
      </c>
      <c r="L10" s="1" t="s">
        <v>83</v>
      </c>
      <c r="M10" s="3">
        <f>AVERAGE(E2:E201)</f>
        <v>25.5</v>
      </c>
      <c r="V10"/>
      <c r="W10"/>
      <c r="X10"/>
      <c r="Z10"/>
      <c r="AA10"/>
      <c r="AB10"/>
    </row>
    <row r="11" spans="1:31" x14ac:dyDescent="0.35">
      <c r="A11" s="4">
        <v>45301</v>
      </c>
      <c r="B11" s="1" t="s">
        <v>10</v>
      </c>
      <c r="C11" s="1" t="s">
        <v>13</v>
      </c>
      <c r="D11" s="1" t="s">
        <v>18</v>
      </c>
      <c r="E11" s="3">
        <v>31</v>
      </c>
      <c r="F11" s="5">
        <v>3424</v>
      </c>
      <c r="G11" s="5">
        <f t="shared" si="0"/>
        <v>110.45161290322581</v>
      </c>
      <c r="H11" s="5">
        <v>1006.293352706973</v>
      </c>
      <c r="I11" s="1" t="str">
        <f>"Q"&amp;ROUND(INT(MONTH(A11)+2)/3,0)</f>
        <v>Q1</v>
      </c>
      <c r="J11" s="1">
        <f t="shared" si="1"/>
        <v>2024</v>
      </c>
      <c r="K11" s="8">
        <f t="shared" si="2"/>
        <v>0.29389408665507388</v>
      </c>
      <c r="L11" s="1" t="s">
        <v>88</v>
      </c>
      <c r="V11"/>
      <c r="W11"/>
      <c r="X11"/>
      <c r="Z11"/>
      <c r="AA11"/>
      <c r="AB11"/>
    </row>
    <row r="12" spans="1:31" x14ac:dyDescent="0.35">
      <c r="A12" s="4">
        <v>45302</v>
      </c>
      <c r="B12" s="1" t="s">
        <v>7</v>
      </c>
      <c r="C12" s="1" t="s">
        <v>14</v>
      </c>
      <c r="D12" s="1" t="s">
        <v>19</v>
      </c>
      <c r="E12" s="3">
        <v>46</v>
      </c>
      <c r="F12" s="5">
        <v>4585</v>
      </c>
      <c r="G12" s="5">
        <f t="shared" si="0"/>
        <v>99.673913043478265</v>
      </c>
      <c r="H12" s="5">
        <v>1252.17003444478</v>
      </c>
      <c r="I12" s="1" t="str">
        <f t="shared" si="3"/>
        <v>Q1</v>
      </c>
      <c r="J12" s="1">
        <f t="shared" si="1"/>
        <v>2024</v>
      </c>
      <c r="K12" s="8">
        <f t="shared" si="2"/>
        <v>0.27310142517879604</v>
      </c>
      <c r="V12" s="11" t="s">
        <v>94</v>
      </c>
      <c r="W12" t="s">
        <v>95</v>
      </c>
      <c r="X12"/>
      <c r="Z12"/>
      <c r="AA12"/>
      <c r="AB12"/>
    </row>
    <row r="13" spans="1:31" x14ac:dyDescent="0.35">
      <c r="A13" s="4">
        <v>45303</v>
      </c>
      <c r="B13" s="1" t="s">
        <v>7</v>
      </c>
      <c r="C13" s="1" t="s">
        <v>14</v>
      </c>
      <c r="D13" s="1" t="s">
        <v>18</v>
      </c>
      <c r="E13" s="3">
        <v>2</v>
      </c>
      <c r="F13" s="5">
        <v>355</v>
      </c>
      <c r="G13" s="5">
        <f t="shared" si="0"/>
        <v>177.5</v>
      </c>
      <c r="H13" s="5">
        <v>93.51211703739888</v>
      </c>
      <c r="I13" s="1" t="str">
        <f t="shared" si="3"/>
        <v>Q1</v>
      </c>
      <c r="J13" s="1">
        <f t="shared" si="1"/>
        <v>2024</v>
      </c>
      <c r="K13" s="8">
        <f t="shared" si="2"/>
        <v>0.26341441418985601</v>
      </c>
      <c r="L13" t="s">
        <v>102</v>
      </c>
      <c r="M13"/>
      <c r="N13"/>
      <c r="O13" s="15" t="s">
        <v>102</v>
      </c>
      <c r="V13" s="1" t="s">
        <v>19</v>
      </c>
      <c r="W13" s="13">
        <v>158668</v>
      </c>
      <c r="X13"/>
      <c r="Z13"/>
      <c r="AA13"/>
      <c r="AB13"/>
    </row>
    <row r="14" spans="1:31" x14ac:dyDescent="0.35">
      <c r="A14" s="4">
        <v>45304</v>
      </c>
      <c r="B14" s="1" t="s">
        <v>7</v>
      </c>
      <c r="C14" s="1" t="s">
        <v>12</v>
      </c>
      <c r="D14" s="1" t="s">
        <v>19</v>
      </c>
      <c r="E14" s="3">
        <v>35</v>
      </c>
      <c r="F14" s="5">
        <v>4904</v>
      </c>
      <c r="G14" s="5">
        <f t="shared" si="0"/>
        <v>140.11428571428573</v>
      </c>
      <c r="H14" s="5">
        <v>743.35109276567698</v>
      </c>
      <c r="I14" s="1" t="str">
        <f t="shared" si="3"/>
        <v>Q1</v>
      </c>
      <c r="J14" s="1">
        <f t="shared" si="1"/>
        <v>2024</v>
      </c>
      <c r="K14" s="8">
        <f t="shared" si="2"/>
        <v>0.15158056540898796</v>
      </c>
      <c r="L14" s="13">
        <v>550604</v>
      </c>
      <c r="M14"/>
      <c r="N14"/>
      <c r="O14" s="13">
        <v>550604</v>
      </c>
      <c r="V14" s="1" t="s">
        <v>16</v>
      </c>
      <c r="W14" s="13">
        <v>150875</v>
      </c>
      <c r="X14"/>
      <c r="Z14"/>
      <c r="AA14"/>
      <c r="AB14"/>
    </row>
    <row r="15" spans="1:31" x14ac:dyDescent="0.35">
      <c r="A15" s="4">
        <v>45305</v>
      </c>
      <c r="B15" s="1" t="s">
        <v>7</v>
      </c>
      <c r="C15" s="1" t="s">
        <v>15</v>
      </c>
      <c r="D15" s="1" t="s">
        <v>17</v>
      </c>
      <c r="E15" s="3">
        <v>23</v>
      </c>
      <c r="F15" s="5">
        <v>1938</v>
      </c>
      <c r="G15" s="5">
        <f t="shared" si="0"/>
        <v>84.260869565217391</v>
      </c>
      <c r="H15" s="5">
        <v>260.03602887238952</v>
      </c>
      <c r="I15" s="1" t="str">
        <f t="shared" si="3"/>
        <v>Q1</v>
      </c>
      <c r="J15" s="1">
        <f t="shared" si="1"/>
        <v>2024</v>
      </c>
      <c r="K15" s="8">
        <f t="shared" si="2"/>
        <v>0.13417751747801318</v>
      </c>
      <c r="L15"/>
      <c r="M15"/>
      <c r="N15"/>
      <c r="O15"/>
      <c r="V15" s="1" t="s">
        <v>17</v>
      </c>
      <c r="W15" s="13">
        <v>134336</v>
      </c>
      <c r="X15"/>
      <c r="Z15"/>
      <c r="AA15"/>
      <c r="AB15"/>
    </row>
    <row r="16" spans="1:31" x14ac:dyDescent="0.35">
      <c r="A16" s="4">
        <v>45306</v>
      </c>
      <c r="B16" s="1" t="s">
        <v>8</v>
      </c>
      <c r="C16" s="1" t="s">
        <v>15</v>
      </c>
      <c r="D16" s="1" t="s">
        <v>16</v>
      </c>
      <c r="E16" s="3">
        <v>17</v>
      </c>
      <c r="F16" s="5">
        <v>2044</v>
      </c>
      <c r="G16" s="5">
        <f t="shared" si="0"/>
        <v>120.23529411764706</v>
      </c>
      <c r="H16" s="5">
        <v>477.74134830510741</v>
      </c>
      <c r="I16" s="1" t="str">
        <f t="shared" si="3"/>
        <v>Q1</v>
      </c>
      <c r="J16" s="1">
        <f t="shared" si="1"/>
        <v>2024</v>
      </c>
      <c r="K16" s="8">
        <f t="shared" si="2"/>
        <v>0.23372864398488621</v>
      </c>
      <c r="L16" t="s">
        <v>103</v>
      </c>
      <c r="M16"/>
      <c r="N16"/>
      <c r="O16" s="15" t="s">
        <v>103</v>
      </c>
      <c r="V16" s="1" t="s">
        <v>18</v>
      </c>
      <c r="W16" s="13">
        <v>106725</v>
      </c>
      <c r="X16"/>
      <c r="Z16"/>
      <c r="AA16"/>
      <c r="AB16"/>
    </row>
    <row r="17" spans="1:28" x14ac:dyDescent="0.35">
      <c r="A17" s="4">
        <v>45307</v>
      </c>
      <c r="B17" s="1" t="s">
        <v>9</v>
      </c>
      <c r="C17" s="1" t="s">
        <v>13</v>
      </c>
      <c r="D17" s="1" t="s">
        <v>17</v>
      </c>
      <c r="E17" s="3">
        <v>26</v>
      </c>
      <c r="F17" s="5">
        <v>109</v>
      </c>
      <c r="G17" s="5">
        <f t="shared" si="0"/>
        <v>4.1923076923076925</v>
      </c>
      <c r="H17" s="5">
        <v>31.160396562981369</v>
      </c>
      <c r="I17" s="1" t="str">
        <f t="shared" si="3"/>
        <v>Q1</v>
      </c>
      <c r="J17" s="1">
        <f t="shared" si="1"/>
        <v>2024</v>
      </c>
      <c r="K17" s="8">
        <f t="shared" si="2"/>
        <v>0.28587519782551712</v>
      </c>
      <c r="L17" s="13">
        <v>109220.93299177606</v>
      </c>
      <c r="M17" s="14">
        <f>M8</f>
        <v>0.19836567295511123</v>
      </c>
      <c r="N17"/>
      <c r="O17" s="13">
        <v>109220.93299177606</v>
      </c>
      <c r="V17" s="1" t="s">
        <v>92</v>
      </c>
      <c r="W17" s="13">
        <v>550604</v>
      </c>
      <c r="X17"/>
      <c r="Z17"/>
      <c r="AA17"/>
      <c r="AB17"/>
    </row>
    <row r="18" spans="1:28" x14ac:dyDescent="0.35">
      <c r="A18" s="4">
        <v>45308</v>
      </c>
      <c r="B18" s="1" t="s">
        <v>8</v>
      </c>
      <c r="C18" s="1" t="s">
        <v>11</v>
      </c>
      <c r="D18" s="1" t="s">
        <v>16</v>
      </c>
      <c r="E18" s="3">
        <v>8</v>
      </c>
      <c r="F18" s="5">
        <v>2971</v>
      </c>
      <c r="G18" s="5">
        <f t="shared" si="0"/>
        <v>371.375</v>
      </c>
      <c r="H18" s="5">
        <v>627.9285110288771</v>
      </c>
      <c r="I18" s="1" t="str">
        <f t="shared" si="3"/>
        <v>Q1</v>
      </c>
      <c r="J18" s="1">
        <f t="shared" si="1"/>
        <v>2024</v>
      </c>
      <c r="K18" s="8">
        <f t="shared" si="2"/>
        <v>0.21135257860278597</v>
      </c>
      <c r="L18"/>
      <c r="M18"/>
      <c r="N18"/>
      <c r="O18"/>
      <c r="V18"/>
      <c r="W18"/>
      <c r="X18"/>
      <c r="Z18"/>
      <c r="AA18"/>
      <c r="AB18"/>
    </row>
    <row r="19" spans="1:28" x14ac:dyDescent="0.35">
      <c r="A19" s="4">
        <v>45309</v>
      </c>
      <c r="B19" s="1" t="s">
        <v>8</v>
      </c>
      <c r="C19" s="1" t="s">
        <v>13</v>
      </c>
      <c r="D19" s="1" t="s">
        <v>19</v>
      </c>
      <c r="E19" s="3">
        <v>29</v>
      </c>
      <c r="F19" s="5">
        <v>897</v>
      </c>
      <c r="G19" s="5">
        <f t="shared" si="0"/>
        <v>30.931034482758619</v>
      </c>
      <c r="H19" s="5">
        <v>192.2473164909</v>
      </c>
      <c r="I19" s="1" t="str">
        <f t="shared" si="3"/>
        <v>Q1</v>
      </c>
      <c r="J19" s="1">
        <f t="shared" si="1"/>
        <v>2024</v>
      </c>
      <c r="K19" s="8">
        <f t="shared" si="2"/>
        <v>0.21432253789397993</v>
      </c>
      <c r="L19" t="s">
        <v>82</v>
      </c>
      <c r="M19"/>
      <c r="N19"/>
      <c r="O19" s="15" t="s">
        <v>82</v>
      </c>
      <c r="V19"/>
      <c r="W19"/>
      <c r="X19"/>
      <c r="Z19"/>
      <c r="AA19"/>
      <c r="AB19"/>
    </row>
    <row r="20" spans="1:28" x14ac:dyDescent="0.35">
      <c r="A20" s="4">
        <v>45310</v>
      </c>
      <c r="B20" s="1" t="s">
        <v>8</v>
      </c>
      <c r="C20" s="1" t="s">
        <v>12</v>
      </c>
      <c r="D20" s="1" t="s">
        <v>18</v>
      </c>
      <c r="E20" s="3">
        <v>26</v>
      </c>
      <c r="F20" s="5">
        <v>1115</v>
      </c>
      <c r="G20" s="5">
        <f t="shared" si="0"/>
        <v>42.884615384615387</v>
      </c>
      <c r="H20" s="5">
        <v>173.93533788624339</v>
      </c>
      <c r="I20" s="1" t="str">
        <f t="shared" si="3"/>
        <v>Q1</v>
      </c>
      <c r="J20" s="1">
        <f t="shared" si="1"/>
        <v>2024</v>
      </c>
      <c r="K20" s="8">
        <f t="shared" si="2"/>
        <v>0.15599581873205684</v>
      </c>
      <c r="L20" s="13">
        <v>2753.02</v>
      </c>
      <c r="M20"/>
      <c r="N20"/>
      <c r="O20" s="13">
        <v>2753.02</v>
      </c>
      <c r="V20" s="11" t="s">
        <v>94</v>
      </c>
      <c r="W20" t="s">
        <v>81</v>
      </c>
      <c r="X20"/>
      <c r="Z20"/>
      <c r="AA20"/>
      <c r="AB20"/>
    </row>
    <row r="21" spans="1:28" x14ac:dyDescent="0.35">
      <c r="A21" s="4">
        <v>45311</v>
      </c>
      <c r="B21" s="1" t="s">
        <v>7</v>
      </c>
      <c r="C21" s="1" t="s">
        <v>12</v>
      </c>
      <c r="D21" s="1" t="s">
        <v>17</v>
      </c>
      <c r="E21" s="3">
        <v>10</v>
      </c>
      <c r="F21" s="5">
        <v>1924</v>
      </c>
      <c r="G21" s="5">
        <f t="shared" si="0"/>
        <v>192.4</v>
      </c>
      <c r="H21" s="5">
        <v>488.50088069225728</v>
      </c>
      <c r="I21" s="1" t="str">
        <f t="shared" si="3"/>
        <v>Q1</v>
      </c>
      <c r="J21" s="1">
        <f t="shared" si="1"/>
        <v>2024</v>
      </c>
      <c r="K21" s="8">
        <f t="shared" si="2"/>
        <v>0.25389858663838738</v>
      </c>
      <c r="L21"/>
      <c r="M21"/>
      <c r="N21"/>
      <c r="O21"/>
      <c r="V21" s="1" t="s">
        <v>19</v>
      </c>
      <c r="W21" s="13">
        <v>31811.836778321667</v>
      </c>
      <c r="X21"/>
    </row>
    <row r="22" spans="1:28" x14ac:dyDescent="0.35">
      <c r="A22" s="4">
        <v>45312</v>
      </c>
      <c r="B22" s="1" t="s">
        <v>10</v>
      </c>
      <c r="C22" s="1" t="s">
        <v>12</v>
      </c>
      <c r="D22" s="1" t="s">
        <v>16</v>
      </c>
      <c r="E22" s="3">
        <v>26</v>
      </c>
      <c r="F22" s="5">
        <v>4569</v>
      </c>
      <c r="G22" s="5">
        <f t="shared" si="0"/>
        <v>175.73076923076923</v>
      </c>
      <c r="H22" s="5">
        <v>627.82057743186488</v>
      </c>
      <c r="I22" s="1" t="str">
        <f t="shared" si="3"/>
        <v>Q1</v>
      </c>
      <c r="J22" s="1">
        <f t="shared" si="1"/>
        <v>2024</v>
      </c>
      <c r="K22" s="8">
        <f t="shared" si="2"/>
        <v>0.13740874971150469</v>
      </c>
      <c r="L22" t="s">
        <v>83</v>
      </c>
      <c r="M22"/>
      <c r="N22"/>
      <c r="O22" s="15" t="s">
        <v>83</v>
      </c>
      <c r="V22" s="1" t="s">
        <v>16</v>
      </c>
      <c r="W22" s="13">
        <v>29181.70111180055</v>
      </c>
      <c r="X22"/>
    </row>
    <row r="23" spans="1:28" x14ac:dyDescent="0.35">
      <c r="A23" s="4">
        <v>45313</v>
      </c>
      <c r="B23" s="1" t="s">
        <v>9</v>
      </c>
      <c r="C23" s="1" t="s">
        <v>12</v>
      </c>
      <c r="D23" s="1" t="s">
        <v>17</v>
      </c>
      <c r="E23" s="3">
        <v>34</v>
      </c>
      <c r="F23" s="5">
        <v>3236</v>
      </c>
      <c r="G23" s="5">
        <f t="shared" si="0"/>
        <v>95.17647058823529</v>
      </c>
      <c r="H23" s="5">
        <v>533.08520180082644</v>
      </c>
      <c r="I23" s="1" t="str">
        <f t="shared" si="3"/>
        <v>Q1</v>
      </c>
      <c r="J23" s="1">
        <f t="shared" si="1"/>
        <v>2024</v>
      </c>
      <c r="K23" s="8">
        <f t="shared" si="2"/>
        <v>0.16473584728084872</v>
      </c>
      <c r="L23" s="12">
        <v>25.5</v>
      </c>
      <c r="M23"/>
      <c r="N23"/>
      <c r="O23" s="12">
        <v>25.5</v>
      </c>
      <c r="V23" s="1" t="s">
        <v>17</v>
      </c>
      <c r="W23" s="13">
        <v>25959.346092182775</v>
      </c>
      <c r="X23"/>
    </row>
    <row r="24" spans="1:28" x14ac:dyDescent="0.35">
      <c r="A24" s="4">
        <v>45314</v>
      </c>
      <c r="B24" s="1" t="s">
        <v>10</v>
      </c>
      <c r="C24" s="1" t="s">
        <v>12</v>
      </c>
      <c r="D24" s="1" t="s">
        <v>16</v>
      </c>
      <c r="E24" s="3">
        <v>41</v>
      </c>
      <c r="F24" s="5">
        <v>2293</v>
      </c>
      <c r="G24" s="5">
        <f t="shared" si="0"/>
        <v>55.926829268292686</v>
      </c>
      <c r="H24" s="5">
        <v>424.40515074948883</v>
      </c>
      <c r="I24" s="1" t="str">
        <f t="shared" si="3"/>
        <v>Q1</v>
      </c>
      <c r="J24" s="1">
        <f t="shared" si="1"/>
        <v>2024</v>
      </c>
      <c r="K24" s="8">
        <f t="shared" si="2"/>
        <v>0.18508728772328339</v>
      </c>
      <c r="L24"/>
      <c r="M24"/>
      <c r="N24"/>
      <c r="V24" s="1" t="s">
        <v>18</v>
      </c>
      <c r="W24" s="13">
        <v>22268.049009470982</v>
      </c>
      <c r="X24"/>
    </row>
    <row r="25" spans="1:28" x14ac:dyDescent="0.35">
      <c r="A25" s="4">
        <v>45315</v>
      </c>
      <c r="B25" s="1" t="s">
        <v>8</v>
      </c>
      <c r="C25" s="1" t="s">
        <v>14</v>
      </c>
      <c r="D25" s="1" t="s">
        <v>17</v>
      </c>
      <c r="E25" s="3">
        <v>7</v>
      </c>
      <c r="F25" s="5">
        <v>323</v>
      </c>
      <c r="G25" s="5">
        <f t="shared" si="0"/>
        <v>46.142857142857146</v>
      </c>
      <c r="H25" s="5">
        <v>65.091630463015804</v>
      </c>
      <c r="I25" s="1" t="str">
        <f t="shared" si="3"/>
        <v>Q1</v>
      </c>
      <c r="J25" s="1">
        <f t="shared" si="1"/>
        <v>2024</v>
      </c>
      <c r="K25" s="8">
        <f t="shared" si="2"/>
        <v>0.20152207573689104</v>
      </c>
      <c r="L25"/>
      <c r="M25"/>
      <c r="N25"/>
      <c r="V25" s="1" t="s">
        <v>92</v>
      </c>
      <c r="W25" s="13">
        <v>109220.93299177598</v>
      </c>
      <c r="X25"/>
    </row>
    <row r="26" spans="1:28" x14ac:dyDescent="0.35">
      <c r="A26" s="4">
        <v>45316</v>
      </c>
      <c r="B26" s="1" t="s">
        <v>8</v>
      </c>
      <c r="C26" s="1" t="s">
        <v>15</v>
      </c>
      <c r="D26" s="1" t="s">
        <v>16</v>
      </c>
      <c r="E26" s="3">
        <v>4</v>
      </c>
      <c r="F26" s="5">
        <v>4258</v>
      </c>
      <c r="G26" s="5">
        <f t="shared" si="0"/>
        <v>1064.5</v>
      </c>
      <c r="H26" s="5">
        <v>632.2361281246823</v>
      </c>
      <c r="I26" s="1" t="str">
        <f t="shared" si="3"/>
        <v>Q1</v>
      </c>
      <c r="J26" s="1">
        <f t="shared" si="1"/>
        <v>2024</v>
      </c>
      <c r="K26" s="8">
        <f t="shared" si="2"/>
        <v>0.14848194648301605</v>
      </c>
      <c r="L26"/>
      <c r="M26"/>
      <c r="N26"/>
      <c r="V26"/>
      <c r="W26"/>
      <c r="X26"/>
    </row>
    <row r="27" spans="1:28" x14ac:dyDescent="0.35">
      <c r="A27" s="4">
        <v>45317</v>
      </c>
      <c r="B27" s="1" t="s">
        <v>10</v>
      </c>
      <c r="C27" s="1" t="s">
        <v>12</v>
      </c>
      <c r="D27" s="1" t="s">
        <v>16</v>
      </c>
      <c r="E27" s="3">
        <v>45</v>
      </c>
      <c r="F27" s="5">
        <v>4025</v>
      </c>
      <c r="G27" s="5">
        <f t="shared" si="0"/>
        <v>89.444444444444443</v>
      </c>
      <c r="H27" s="5">
        <v>494.94364391505889</v>
      </c>
      <c r="I27" s="1" t="str">
        <f t="shared" si="3"/>
        <v>Q1</v>
      </c>
      <c r="J27" s="1">
        <f t="shared" si="1"/>
        <v>2024</v>
      </c>
      <c r="K27" s="8">
        <f t="shared" si="2"/>
        <v>0.12296736494784072</v>
      </c>
      <c r="L27"/>
      <c r="M27"/>
      <c r="N27"/>
      <c r="V27"/>
      <c r="W27"/>
      <c r="X27"/>
    </row>
    <row r="28" spans="1:28" x14ac:dyDescent="0.35">
      <c r="A28" s="4">
        <v>45318</v>
      </c>
      <c r="B28" s="1" t="s">
        <v>10</v>
      </c>
      <c r="C28" s="1" t="s">
        <v>11</v>
      </c>
      <c r="D28" s="1" t="s">
        <v>19</v>
      </c>
      <c r="E28" s="3">
        <v>11</v>
      </c>
      <c r="F28" s="5">
        <v>4884</v>
      </c>
      <c r="G28" s="5">
        <f t="shared" si="0"/>
        <v>444</v>
      </c>
      <c r="H28" s="5">
        <v>1084.8536574569871</v>
      </c>
      <c r="I28" s="1" t="str">
        <f t="shared" si="3"/>
        <v>Q1</v>
      </c>
      <c r="J28" s="1">
        <f t="shared" si="1"/>
        <v>2024</v>
      </c>
      <c r="K28" s="8">
        <f t="shared" si="2"/>
        <v>0.22212400848832659</v>
      </c>
      <c r="L28"/>
      <c r="M28"/>
      <c r="N28"/>
      <c r="V28" s="11" t="s">
        <v>2</v>
      </c>
      <c r="W28" t="s">
        <v>95</v>
      </c>
      <c r="X28"/>
    </row>
    <row r="29" spans="1:28" x14ac:dyDescent="0.35">
      <c r="A29" s="4">
        <v>45319</v>
      </c>
      <c r="B29" s="1" t="s">
        <v>10</v>
      </c>
      <c r="C29" s="1" t="s">
        <v>11</v>
      </c>
      <c r="D29" s="1" t="s">
        <v>16</v>
      </c>
      <c r="E29" s="3">
        <v>29</v>
      </c>
      <c r="F29" s="5">
        <v>4100</v>
      </c>
      <c r="G29" s="5">
        <f t="shared" si="0"/>
        <v>141.37931034482759</v>
      </c>
      <c r="H29" s="5">
        <v>646.67705365700965</v>
      </c>
      <c r="I29" s="1" t="str">
        <f t="shared" si="3"/>
        <v>Q1</v>
      </c>
      <c r="J29" s="1">
        <f t="shared" si="1"/>
        <v>2024</v>
      </c>
      <c r="K29" s="8">
        <f t="shared" si="2"/>
        <v>0.15772611064805114</v>
      </c>
      <c r="L29"/>
      <c r="M29"/>
      <c r="N29"/>
      <c r="V29" s="1" t="s">
        <v>12</v>
      </c>
      <c r="W29" s="13">
        <v>140471</v>
      </c>
      <c r="X29"/>
    </row>
    <row r="30" spans="1:28" x14ac:dyDescent="0.35">
      <c r="A30" s="4">
        <v>45320</v>
      </c>
      <c r="B30" s="1" t="s">
        <v>8</v>
      </c>
      <c r="C30" s="1" t="s">
        <v>11</v>
      </c>
      <c r="D30" s="1" t="s">
        <v>19</v>
      </c>
      <c r="E30" s="3">
        <v>36</v>
      </c>
      <c r="F30" s="5">
        <v>1733</v>
      </c>
      <c r="G30" s="5">
        <f t="shared" si="0"/>
        <v>48.138888888888886</v>
      </c>
      <c r="H30" s="5">
        <v>374.75716754507738</v>
      </c>
      <c r="I30" s="1" t="str">
        <f t="shared" si="3"/>
        <v>Q1</v>
      </c>
      <c r="J30" s="1">
        <f t="shared" si="1"/>
        <v>2024</v>
      </c>
      <c r="K30" s="8">
        <f t="shared" si="2"/>
        <v>0.21624764428452242</v>
      </c>
      <c r="L30"/>
      <c r="M30"/>
      <c r="N30"/>
      <c r="V30" s="1" t="s">
        <v>11</v>
      </c>
      <c r="W30" s="13">
        <v>139387</v>
      </c>
      <c r="X30"/>
    </row>
    <row r="31" spans="1:28" x14ac:dyDescent="0.35">
      <c r="A31" s="4">
        <v>45321</v>
      </c>
      <c r="B31" s="1" t="s">
        <v>8</v>
      </c>
      <c r="C31" s="1" t="s">
        <v>11</v>
      </c>
      <c r="D31" s="1" t="s">
        <v>16</v>
      </c>
      <c r="E31" s="3">
        <v>25</v>
      </c>
      <c r="F31" s="5">
        <v>2252</v>
      </c>
      <c r="G31" s="5">
        <f t="shared" si="0"/>
        <v>90.08</v>
      </c>
      <c r="H31" s="5">
        <v>294.72496695950082</v>
      </c>
      <c r="I31" s="1" t="str">
        <f t="shared" si="3"/>
        <v>Q1</v>
      </c>
      <c r="J31" s="1">
        <f t="shared" si="1"/>
        <v>2024</v>
      </c>
      <c r="K31" s="8">
        <f t="shared" si="2"/>
        <v>0.1308725430548405</v>
      </c>
      <c r="L31"/>
      <c r="M31"/>
      <c r="N31"/>
      <c r="V31" s="1" t="s">
        <v>14</v>
      </c>
      <c r="W31" s="13">
        <v>110132</v>
      </c>
      <c r="X31"/>
    </row>
    <row r="32" spans="1:28" x14ac:dyDescent="0.35">
      <c r="A32" s="4">
        <v>45322</v>
      </c>
      <c r="B32" s="1" t="s">
        <v>9</v>
      </c>
      <c r="C32" s="1" t="s">
        <v>14</v>
      </c>
      <c r="D32" s="1" t="s">
        <v>18</v>
      </c>
      <c r="E32" s="3">
        <v>21</v>
      </c>
      <c r="F32" s="5">
        <v>610</v>
      </c>
      <c r="G32" s="5">
        <f t="shared" si="0"/>
        <v>29.047619047619047</v>
      </c>
      <c r="H32" s="5">
        <v>119.69909242628771</v>
      </c>
      <c r="I32" s="1" t="str">
        <f t="shared" si="3"/>
        <v>Q1</v>
      </c>
      <c r="J32" s="1">
        <f t="shared" si="1"/>
        <v>2024</v>
      </c>
      <c r="K32" s="8">
        <f t="shared" si="2"/>
        <v>0.19622802037096346</v>
      </c>
      <c r="L32"/>
      <c r="M32"/>
      <c r="N32"/>
      <c r="V32" s="1" t="s">
        <v>15</v>
      </c>
      <c r="W32" s="13">
        <v>86844</v>
      </c>
      <c r="X32"/>
    </row>
    <row r="33" spans="1:27" x14ac:dyDescent="0.35">
      <c r="A33" s="4">
        <v>45323</v>
      </c>
      <c r="B33" s="1" t="s">
        <v>9</v>
      </c>
      <c r="C33" s="1" t="s">
        <v>11</v>
      </c>
      <c r="D33" s="1" t="s">
        <v>18</v>
      </c>
      <c r="E33" s="3">
        <v>36</v>
      </c>
      <c r="F33" s="5">
        <v>484</v>
      </c>
      <c r="G33" s="5">
        <f t="shared" si="0"/>
        <v>13.444444444444445</v>
      </c>
      <c r="H33" s="5">
        <v>99.954657070993505</v>
      </c>
      <c r="I33" s="1" t="str">
        <f t="shared" si="3"/>
        <v>Q1</v>
      </c>
      <c r="J33" s="1">
        <f t="shared" si="1"/>
        <v>2024</v>
      </c>
      <c r="K33" s="8">
        <f t="shared" si="2"/>
        <v>0.20651788651031716</v>
      </c>
      <c r="L33"/>
      <c r="M33"/>
      <c r="N33"/>
      <c r="V33" s="1" t="s">
        <v>13</v>
      </c>
      <c r="W33" s="13">
        <v>73770</v>
      </c>
      <c r="X33"/>
    </row>
    <row r="34" spans="1:27" x14ac:dyDescent="0.35">
      <c r="A34" s="4">
        <v>45324</v>
      </c>
      <c r="B34" s="1" t="s">
        <v>8</v>
      </c>
      <c r="C34" s="1" t="s">
        <v>12</v>
      </c>
      <c r="D34" s="1" t="s">
        <v>18</v>
      </c>
      <c r="E34" s="3">
        <v>10</v>
      </c>
      <c r="F34" s="5">
        <v>504</v>
      </c>
      <c r="G34" s="5">
        <f t="shared" ref="G34:G65" si="4">F34/E34</f>
        <v>50.4</v>
      </c>
      <c r="H34" s="5">
        <v>55.623812511700628</v>
      </c>
      <c r="I34" s="1" t="str">
        <f t="shared" ref="I34:I65" si="5">"Q"&amp;ROUND(INT(MONTH(A34)+2)/3,0)</f>
        <v>Q1</v>
      </c>
      <c r="J34" s="1">
        <f t="shared" ref="J34:J65" si="6">YEAR(A34)</f>
        <v>2024</v>
      </c>
      <c r="K34" s="8">
        <f t="shared" ref="K34:K65" si="7">IF(F34=0,0,H34/F34)</f>
        <v>0.11036470736448538</v>
      </c>
      <c r="L34"/>
      <c r="M34"/>
      <c r="N34"/>
      <c r="V34" s="1" t="s">
        <v>92</v>
      </c>
      <c r="W34" s="13">
        <v>550604</v>
      </c>
      <c r="X34"/>
    </row>
    <row r="35" spans="1:27" x14ac:dyDescent="0.35">
      <c r="A35" s="4">
        <v>45325</v>
      </c>
      <c r="B35" s="1" t="s">
        <v>10</v>
      </c>
      <c r="C35" s="1" t="s">
        <v>13</v>
      </c>
      <c r="D35" s="1" t="s">
        <v>16</v>
      </c>
      <c r="E35" s="3">
        <v>37</v>
      </c>
      <c r="F35" s="5">
        <v>4713</v>
      </c>
      <c r="G35" s="5">
        <f t="shared" si="4"/>
        <v>127.37837837837837</v>
      </c>
      <c r="H35" s="5">
        <v>788.58319262558962</v>
      </c>
      <c r="I35" s="1" t="str">
        <f t="shared" si="5"/>
        <v>Q1</v>
      </c>
      <c r="J35" s="1">
        <f t="shared" si="6"/>
        <v>2024</v>
      </c>
      <c r="K35" s="8">
        <f t="shared" si="7"/>
        <v>0.16732085563878413</v>
      </c>
      <c r="L35"/>
      <c r="M35"/>
      <c r="N35"/>
      <c r="V35"/>
      <c r="W35"/>
      <c r="X35"/>
    </row>
    <row r="36" spans="1:27" x14ac:dyDescent="0.35">
      <c r="A36" s="4">
        <v>45326</v>
      </c>
      <c r="B36" s="1" t="s">
        <v>10</v>
      </c>
      <c r="C36" s="1" t="s">
        <v>11</v>
      </c>
      <c r="D36" s="1" t="s">
        <v>19</v>
      </c>
      <c r="E36" s="3">
        <v>9</v>
      </c>
      <c r="F36" s="5">
        <v>4671</v>
      </c>
      <c r="G36" s="5">
        <f t="shared" si="4"/>
        <v>519</v>
      </c>
      <c r="H36" s="5">
        <v>592.67019119638974</v>
      </c>
      <c r="I36" s="1" t="str">
        <f t="shared" si="5"/>
        <v>Q1</v>
      </c>
      <c r="J36" s="1">
        <f t="shared" si="6"/>
        <v>2024</v>
      </c>
      <c r="K36" s="8">
        <f t="shared" si="7"/>
        <v>0.12688293538779485</v>
      </c>
      <c r="L36"/>
      <c r="M36"/>
      <c r="N36"/>
      <c r="V36"/>
      <c r="W36"/>
      <c r="X36"/>
    </row>
    <row r="37" spans="1:27" x14ac:dyDescent="0.35">
      <c r="A37" s="4">
        <v>45327</v>
      </c>
      <c r="B37" s="1" t="s">
        <v>9</v>
      </c>
      <c r="C37" s="1" t="s">
        <v>14</v>
      </c>
      <c r="D37" s="1" t="s">
        <v>19</v>
      </c>
      <c r="E37" s="3">
        <v>24</v>
      </c>
      <c r="F37" s="5">
        <v>2100</v>
      </c>
      <c r="G37" s="5">
        <f t="shared" si="4"/>
        <v>87.5</v>
      </c>
      <c r="H37" s="5">
        <v>236.61748759856249</v>
      </c>
      <c r="I37" s="1" t="str">
        <f t="shared" si="5"/>
        <v>Q1</v>
      </c>
      <c r="J37" s="1">
        <f t="shared" si="6"/>
        <v>2024</v>
      </c>
      <c r="K37" s="8">
        <f t="shared" si="7"/>
        <v>0.11267499409455357</v>
      </c>
      <c r="L37"/>
      <c r="M37"/>
      <c r="N37"/>
      <c r="V37" s="11" t="s">
        <v>2</v>
      </c>
      <c r="W37" t="s">
        <v>96</v>
      </c>
      <c r="X37"/>
      <c r="Y37"/>
      <c r="Z37"/>
      <c r="AA37"/>
    </row>
    <row r="38" spans="1:27" x14ac:dyDescent="0.35">
      <c r="A38" s="4">
        <v>45328</v>
      </c>
      <c r="B38" s="1" t="s">
        <v>8</v>
      </c>
      <c r="C38" s="1" t="s">
        <v>14</v>
      </c>
      <c r="D38" s="1" t="s">
        <v>16</v>
      </c>
      <c r="E38" s="3">
        <v>35</v>
      </c>
      <c r="F38" s="5">
        <v>2856</v>
      </c>
      <c r="G38" s="5">
        <f t="shared" si="4"/>
        <v>81.599999999999994</v>
      </c>
      <c r="H38" s="5">
        <v>851.06528474113668</v>
      </c>
      <c r="I38" s="1" t="str">
        <f t="shared" si="5"/>
        <v>Q1</v>
      </c>
      <c r="J38" s="1">
        <f t="shared" si="6"/>
        <v>2024</v>
      </c>
      <c r="K38" s="8">
        <f t="shared" si="7"/>
        <v>0.29799204647798905</v>
      </c>
      <c r="L38"/>
      <c r="M38"/>
      <c r="N38"/>
      <c r="V38" s="1" t="s">
        <v>11</v>
      </c>
      <c r="W38" s="13">
        <v>28466.706519184419</v>
      </c>
      <c r="X38"/>
      <c r="Y38"/>
      <c r="Z38"/>
      <c r="AA38"/>
    </row>
    <row r="39" spans="1:27" x14ac:dyDescent="0.35">
      <c r="A39" s="4">
        <v>45329</v>
      </c>
      <c r="B39" s="1" t="s">
        <v>9</v>
      </c>
      <c r="C39" s="1" t="s">
        <v>11</v>
      </c>
      <c r="D39" s="1" t="s">
        <v>18</v>
      </c>
      <c r="E39" s="3">
        <v>49</v>
      </c>
      <c r="F39" s="5">
        <v>1768</v>
      </c>
      <c r="G39" s="5">
        <f t="shared" si="4"/>
        <v>36.081632653061227</v>
      </c>
      <c r="H39" s="5">
        <v>290.78431958306197</v>
      </c>
      <c r="I39" s="1" t="str">
        <f t="shared" si="5"/>
        <v>Q1</v>
      </c>
      <c r="J39" s="1">
        <f t="shared" si="6"/>
        <v>2024</v>
      </c>
      <c r="K39" s="8">
        <f t="shared" si="7"/>
        <v>0.16447076899494456</v>
      </c>
      <c r="L39"/>
      <c r="M39"/>
      <c r="N39"/>
      <c r="V39" s="1" t="s">
        <v>15</v>
      </c>
      <c r="W39" s="13">
        <v>18142.061863685794</v>
      </c>
      <c r="X39"/>
      <c r="Y39"/>
      <c r="Z39"/>
      <c r="AA39"/>
    </row>
    <row r="40" spans="1:27" x14ac:dyDescent="0.35">
      <c r="A40" s="4">
        <v>45330</v>
      </c>
      <c r="B40" s="1" t="s">
        <v>9</v>
      </c>
      <c r="C40" s="1" t="s">
        <v>13</v>
      </c>
      <c r="D40" s="1" t="s">
        <v>18</v>
      </c>
      <c r="E40" s="3">
        <v>35</v>
      </c>
      <c r="F40" s="5">
        <v>1560</v>
      </c>
      <c r="G40" s="5">
        <f t="shared" si="4"/>
        <v>44.571428571428569</v>
      </c>
      <c r="H40" s="5">
        <v>408.68082710664601</v>
      </c>
      <c r="I40" s="1" t="str">
        <f t="shared" si="5"/>
        <v>Q1</v>
      </c>
      <c r="J40" s="1">
        <f t="shared" si="6"/>
        <v>2024</v>
      </c>
      <c r="K40" s="8">
        <f t="shared" si="7"/>
        <v>0.26197488917092693</v>
      </c>
      <c r="V40" s="1" t="s">
        <v>14</v>
      </c>
      <c r="W40" s="13">
        <v>22372.073398697372</v>
      </c>
      <c r="X40"/>
      <c r="Y40"/>
      <c r="Z40"/>
      <c r="AA40"/>
    </row>
    <row r="41" spans="1:27" x14ac:dyDescent="0.35">
      <c r="A41" s="4">
        <v>45331</v>
      </c>
      <c r="B41" s="1" t="s">
        <v>7</v>
      </c>
      <c r="C41" s="1" t="s">
        <v>11</v>
      </c>
      <c r="D41" s="1" t="s">
        <v>19</v>
      </c>
      <c r="E41" s="3">
        <v>48</v>
      </c>
      <c r="F41" s="5">
        <v>3736</v>
      </c>
      <c r="G41" s="5">
        <f t="shared" si="4"/>
        <v>77.833333333333329</v>
      </c>
      <c r="H41" s="5">
        <v>563.86749723948435</v>
      </c>
      <c r="I41" s="1" t="str">
        <f t="shared" si="5"/>
        <v>Q1</v>
      </c>
      <c r="J41" s="1">
        <f t="shared" si="6"/>
        <v>2024</v>
      </c>
      <c r="K41" s="8">
        <f t="shared" si="7"/>
        <v>0.15092813095275276</v>
      </c>
      <c r="V41" s="1" t="s">
        <v>12</v>
      </c>
      <c r="W41" s="13">
        <v>25764.511053347498</v>
      </c>
      <c r="X41"/>
      <c r="Y41"/>
      <c r="Z41"/>
      <c r="AA41"/>
    </row>
    <row r="42" spans="1:27" x14ac:dyDescent="0.35">
      <c r="A42" s="4">
        <v>45332</v>
      </c>
      <c r="B42" s="1" t="s">
        <v>7</v>
      </c>
      <c r="C42" s="1" t="s">
        <v>14</v>
      </c>
      <c r="D42" s="1" t="s">
        <v>18</v>
      </c>
      <c r="E42" s="3">
        <v>36</v>
      </c>
      <c r="F42" s="5">
        <v>2824</v>
      </c>
      <c r="G42" s="5">
        <f t="shared" si="4"/>
        <v>78.444444444444443</v>
      </c>
      <c r="H42" s="5">
        <v>667.31273751207527</v>
      </c>
      <c r="I42" s="1" t="str">
        <f t="shared" si="5"/>
        <v>Q1</v>
      </c>
      <c r="J42" s="1">
        <f t="shared" si="6"/>
        <v>2024</v>
      </c>
      <c r="K42" s="8">
        <f t="shared" si="7"/>
        <v>0.23630054444478585</v>
      </c>
      <c r="V42" s="1" t="s">
        <v>13</v>
      </c>
      <c r="W42" s="13">
        <v>14475.580156860897</v>
      </c>
      <c r="X42"/>
      <c r="Y42"/>
      <c r="Z42"/>
      <c r="AA42"/>
    </row>
    <row r="43" spans="1:27" x14ac:dyDescent="0.35">
      <c r="A43" s="4">
        <v>45333</v>
      </c>
      <c r="B43" s="1" t="s">
        <v>7</v>
      </c>
      <c r="C43" s="1" t="s">
        <v>15</v>
      </c>
      <c r="D43" s="1" t="s">
        <v>17</v>
      </c>
      <c r="E43" s="3">
        <v>18</v>
      </c>
      <c r="F43" s="5">
        <v>4909</v>
      </c>
      <c r="G43" s="5">
        <f t="shared" si="4"/>
        <v>272.72222222222223</v>
      </c>
      <c r="H43" s="5">
        <v>1237.2917128396939</v>
      </c>
      <c r="I43" s="1" t="str">
        <f t="shared" si="5"/>
        <v>Q1</v>
      </c>
      <c r="J43" s="1">
        <f t="shared" si="6"/>
        <v>2024</v>
      </c>
      <c r="K43" s="8">
        <f t="shared" si="7"/>
        <v>0.25204557197793725</v>
      </c>
      <c r="V43" s="1" t="s">
        <v>92</v>
      </c>
      <c r="W43" s="13">
        <v>109220.93299177598</v>
      </c>
      <c r="X43"/>
      <c r="Y43"/>
      <c r="Z43"/>
      <c r="AA43"/>
    </row>
    <row r="44" spans="1:27" x14ac:dyDescent="0.35">
      <c r="A44" s="4">
        <v>45334</v>
      </c>
      <c r="B44" s="1" t="s">
        <v>10</v>
      </c>
      <c r="C44" s="1" t="s">
        <v>12</v>
      </c>
      <c r="D44" s="1" t="s">
        <v>19</v>
      </c>
      <c r="E44" s="3">
        <v>49</v>
      </c>
      <c r="F44" s="5">
        <v>4278</v>
      </c>
      <c r="G44" s="5">
        <f t="shared" si="4"/>
        <v>87.306122448979593</v>
      </c>
      <c r="H44" s="5">
        <v>937.42850646407157</v>
      </c>
      <c r="I44" s="1" t="str">
        <f t="shared" si="5"/>
        <v>Q1</v>
      </c>
      <c r="J44" s="1">
        <f t="shared" si="6"/>
        <v>2024</v>
      </c>
      <c r="K44" s="8">
        <f t="shared" si="7"/>
        <v>0.21912774812156885</v>
      </c>
      <c r="V44"/>
      <c r="W44"/>
      <c r="X44"/>
      <c r="Y44"/>
      <c r="Z44"/>
      <c r="AA44"/>
    </row>
    <row r="45" spans="1:27" x14ac:dyDescent="0.35">
      <c r="A45" s="4">
        <v>45335</v>
      </c>
      <c r="B45" s="1" t="s">
        <v>8</v>
      </c>
      <c r="C45" s="1" t="s">
        <v>14</v>
      </c>
      <c r="D45" s="1" t="s">
        <v>18</v>
      </c>
      <c r="E45" s="3">
        <v>39</v>
      </c>
      <c r="F45" s="5">
        <v>2148</v>
      </c>
      <c r="G45" s="5">
        <f t="shared" si="4"/>
        <v>55.07692307692308</v>
      </c>
      <c r="H45" s="5">
        <v>417.38913060114811</v>
      </c>
      <c r="I45" s="1" t="str">
        <f t="shared" si="5"/>
        <v>Q1</v>
      </c>
      <c r="J45" s="1">
        <f t="shared" si="6"/>
        <v>2024</v>
      </c>
      <c r="K45" s="8">
        <f t="shared" si="7"/>
        <v>0.1943152377100317</v>
      </c>
      <c r="V45"/>
      <c r="W45"/>
      <c r="X45"/>
    </row>
    <row r="46" spans="1:27" x14ac:dyDescent="0.35">
      <c r="A46" s="4">
        <v>45336</v>
      </c>
      <c r="B46" s="1" t="s">
        <v>8</v>
      </c>
      <c r="C46" s="1" t="s">
        <v>11</v>
      </c>
      <c r="D46" s="1" t="s">
        <v>19</v>
      </c>
      <c r="E46" s="3">
        <v>32</v>
      </c>
      <c r="F46" s="5">
        <v>4246</v>
      </c>
      <c r="G46" s="5">
        <f t="shared" si="4"/>
        <v>132.6875</v>
      </c>
      <c r="H46" s="5">
        <v>774.33530429386053</v>
      </c>
      <c r="I46" s="1" t="str">
        <f t="shared" si="5"/>
        <v>Q1</v>
      </c>
      <c r="J46" s="1">
        <f t="shared" si="6"/>
        <v>2024</v>
      </c>
      <c r="K46" s="8">
        <f t="shared" si="7"/>
        <v>0.18236818282945372</v>
      </c>
      <c r="V46" s="11" t="s">
        <v>2</v>
      </c>
      <c r="W46" t="s">
        <v>97</v>
      </c>
      <c r="X46"/>
    </row>
    <row r="47" spans="1:27" x14ac:dyDescent="0.35">
      <c r="A47" s="4">
        <v>45337</v>
      </c>
      <c r="B47" s="1" t="s">
        <v>8</v>
      </c>
      <c r="C47" s="1" t="s">
        <v>12</v>
      </c>
      <c r="D47" s="1" t="s">
        <v>17</v>
      </c>
      <c r="E47" s="3">
        <v>24</v>
      </c>
      <c r="F47" s="5">
        <v>4880</v>
      </c>
      <c r="G47" s="5">
        <f t="shared" si="4"/>
        <v>203.33333333333334</v>
      </c>
      <c r="H47" s="5">
        <v>828.49542814596339</v>
      </c>
      <c r="I47" s="1" t="str">
        <f t="shared" si="5"/>
        <v>Q1</v>
      </c>
      <c r="J47" s="1">
        <f t="shared" si="6"/>
        <v>2024</v>
      </c>
      <c r="K47" s="8">
        <f t="shared" si="7"/>
        <v>0.16977365330859906</v>
      </c>
      <c r="V47" s="1" t="s">
        <v>11</v>
      </c>
      <c r="W47">
        <v>51</v>
      </c>
      <c r="X47"/>
    </row>
    <row r="48" spans="1:27" x14ac:dyDescent="0.35">
      <c r="A48" s="4">
        <v>45338</v>
      </c>
      <c r="B48" s="1" t="s">
        <v>8</v>
      </c>
      <c r="C48" s="1" t="s">
        <v>11</v>
      </c>
      <c r="D48" s="1" t="s">
        <v>19</v>
      </c>
      <c r="E48" s="3">
        <v>23</v>
      </c>
      <c r="F48" s="5">
        <v>816</v>
      </c>
      <c r="G48" s="5">
        <f t="shared" si="4"/>
        <v>35.478260869565219</v>
      </c>
      <c r="H48" s="5">
        <v>233.29915634124521</v>
      </c>
      <c r="I48" s="1" t="str">
        <f t="shared" si="5"/>
        <v>Q1</v>
      </c>
      <c r="J48" s="1">
        <f t="shared" si="6"/>
        <v>2024</v>
      </c>
      <c r="K48" s="8">
        <f t="shared" si="7"/>
        <v>0.28590582884956522</v>
      </c>
      <c r="V48" s="1" t="s">
        <v>12</v>
      </c>
      <c r="W48">
        <v>46</v>
      </c>
      <c r="X48"/>
    </row>
    <row r="49" spans="1:24" x14ac:dyDescent="0.35">
      <c r="A49" s="4">
        <v>45339</v>
      </c>
      <c r="B49" s="1" t="s">
        <v>7</v>
      </c>
      <c r="C49" s="1" t="s">
        <v>11</v>
      </c>
      <c r="D49" s="1" t="s">
        <v>19</v>
      </c>
      <c r="E49" s="3">
        <v>32</v>
      </c>
      <c r="F49" s="5">
        <v>4644</v>
      </c>
      <c r="G49" s="5">
        <f t="shared" si="4"/>
        <v>145.125</v>
      </c>
      <c r="H49" s="5">
        <v>1235.8793059532429</v>
      </c>
      <c r="I49" s="1" t="str">
        <f t="shared" si="5"/>
        <v>Q1</v>
      </c>
      <c r="J49" s="1">
        <f t="shared" si="6"/>
        <v>2024</v>
      </c>
      <c r="K49" s="8">
        <f t="shared" si="7"/>
        <v>0.26612388155754585</v>
      </c>
      <c r="V49" s="1" t="s">
        <v>14</v>
      </c>
      <c r="W49">
        <v>44</v>
      </c>
      <c r="X49"/>
    </row>
    <row r="50" spans="1:24" x14ac:dyDescent="0.35">
      <c r="A50" s="4">
        <v>45340</v>
      </c>
      <c r="B50" s="1" t="s">
        <v>10</v>
      </c>
      <c r="C50" s="1" t="s">
        <v>15</v>
      </c>
      <c r="D50" s="1" t="s">
        <v>19</v>
      </c>
      <c r="E50" s="3">
        <v>37</v>
      </c>
      <c r="F50" s="5">
        <v>4683</v>
      </c>
      <c r="G50" s="5">
        <f t="shared" si="4"/>
        <v>126.56756756756756</v>
      </c>
      <c r="H50" s="5">
        <v>1372.144204530256</v>
      </c>
      <c r="I50" s="1" t="str">
        <f t="shared" si="5"/>
        <v>Q1</v>
      </c>
      <c r="J50" s="1">
        <f t="shared" si="6"/>
        <v>2024</v>
      </c>
      <c r="K50" s="8">
        <f t="shared" si="7"/>
        <v>0.29300538213330257</v>
      </c>
      <c r="V50" s="1" t="s">
        <v>13</v>
      </c>
      <c r="W50">
        <v>30</v>
      </c>
      <c r="X50"/>
    </row>
    <row r="51" spans="1:24" x14ac:dyDescent="0.35">
      <c r="A51" s="4">
        <v>45341</v>
      </c>
      <c r="B51" s="1" t="s">
        <v>10</v>
      </c>
      <c r="C51" s="1" t="s">
        <v>12</v>
      </c>
      <c r="D51" s="1" t="s">
        <v>19</v>
      </c>
      <c r="E51" s="3">
        <v>12</v>
      </c>
      <c r="F51" s="5">
        <v>1923</v>
      </c>
      <c r="G51" s="5">
        <f t="shared" si="4"/>
        <v>160.25</v>
      </c>
      <c r="H51" s="5">
        <v>240.10471215254049</v>
      </c>
      <c r="I51" s="1" t="str">
        <f t="shared" si="5"/>
        <v>Q1</v>
      </c>
      <c r="J51" s="1">
        <f t="shared" si="6"/>
        <v>2024</v>
      </c>
      <c r="K51" s="8">
        <f t="shared" si="7"/>
        <v>0.12485944469710894</v>
      </c>
      <c r="V51" s="1" t="s">
        <v>15</v>
      </c>
      <c r="W51">
        <v>29</v>
      </c>
      <c r="X51"/>
    </row>
    <row r="52" spans="1:24" x14ac:dyDescent="0.35">
      <c r="A52" s="4">
        <v>45342</v>
      </c>
      <c r="B52" s="1" t="s">
        <v>7</v>
      </c>
      <c r="C52" s="1" t="s">
        <v>12</v>
      </c>
      <c r="D52" s="1" t="s">
        <v>17</v>
      </c>
      <c r="E52" s="3">
        <v>49</v>
      </c>
      <c r="F52" s="5">
        <v>2181</v>
      </c>
      <c r="G52" s="5">
        <f t="shared" si="4"/>
        <v>44.510204081632651</v>
      </c>
      <c r="H52" s="5">
        <v>536.90439268382966</v>
      </c>
      <c r="I52" s="1" t="str">
        <f t="shared" si="5"/>
        <v>Q1</v>
      </c>
      <c r="J52" s="1">
        <f t="shared" si="6"/>
        <v>2024</v>
      </c>
      <c r="K52" s="8">
        <f t="shared" si="7"/>
        <v>0.24617349504072886</v>
      </c>
      <c r="V52" s="1" t="s">
        <v>92</v>
      </c>
      <c r="W52">
        <v>200</v>
      </c>
      <c r="X52"/>
    </row>
    <row r="53" spans="1:24" x14ac:dyDescent="0.35">
      <c r="A53" s="4">
        <v>45343</v>
      </c>
      <c r="B53" s="1" t="s">
        <v>10</v>
      </c>
      <c r="C53" s="1" t="s">
        <v>15</v>
      </c>
      <c r="D53" s="1" t="s">
        <v>16</v>
      </c>
      <c r="E53" s="3">
        <v>13</v>
      </c>
      <c r="F53" s="5">
        <v>3519</v>
      </c>
      <c r="G53" s="5">
        <f t="shared" si="4"/>
        <v>270.69230769230768</v>
      </c>
      <c r="H53" s="5">
        <v>1012.304013510646</v>
      </c>
      <c r="I53" s="1" t="str">
        <f t="shared" si="5"/>
        <v>Q1</v>
      </c>
      <c r="J53" s="1">
        <f t="shared" si="6"/>
        <v>2024</v>
      </c>
      <c r="K53" s="8">
        <f t="shared" si="7"/>
        <v>0.28766809136420746</v>
      </c>
      <c r="V53"/>
      <c r="W53"/>
      <c r="X53"/>
    </row>
    <row r="54" spans="1:24" x14ac:dyDescent="0.35">
      <c r="A54" s="4">
        <v>45344</v>
      </c>
      <c r="B54" s="1" t="s">
        <v>7</v>
      </c>
      <c r="C54" s="1" t="s">
        <v>14</v>
      </c>
      <c r="D54" s="1" t="s">
        <v>19</v>
      </c>
      <c r="E54" s="3">
        <v>23</v>
      </c>
      <c r="F54" s="5">
        <v>1674</v>
      </c>
      <c r="G54" s="5">
        <f t="shared" si="4"/>
        <v>72.782608695652172</v>
      </c>
      <c r="H54" s="5">
        <v>228.076830552263</v>
      </c>
      <c r="I54" s="1" t="str">
        <f t="shared" si="5"/>
        <v>Q1</v>
      </c>
      <c r="J54" s="1">
        <f t="shared" si="6"/>
        <v>2024</v>
      </c>
      <c r="K54" s="8">
        <f t="shared" si="7"/>
        <v>0.13624661323313203</v>
      </c>
      <c r="V54"/>
      <c r="W54"/>
      <c r="X54"/>
    </row>
    <row r="55" spans="1:24" x14ac:dyDescent="0.35">
      <c r="A55" s="4">
        <v>45345</v>
      </c>
      <c r="B55" s="1" t="s">
        <v>8</v>
      </c>
      <c r="C55" s="1" t="s">
        <v>11</v>
      </c>
      <c r="D55" s="1" t="s">
        <v>19</v>
      </c>
      <c r="E55" s="3">
        <v>25</v>
      </c>
      <c r="F55" s="5">
        <v>349</v>
      </c>
      <c r="G55" s="5">
        <f t="shared" si="4"/>
        <v>13.96</v>
      </c>
      <c r="H55" s="5">
        <v>39.541439462201083</v>
      </c>
      <c r="I55" s="1" t="str">
        <f t="shared" si="5"/>
        <v>Q1</v>
      </c>
      <c r="J55" s="1">
        <f t="shared" si="6"/>
        <v>2024</v>
      </c>
      <c r="K55" s="8">
        <f t="shared" si="7"/>
        <v>0.11329925347335554</v>
      </c>
      <c r="V55" s="11" t="s">
        <v>98</v>
      </c>
      <c r="W55" t="s">
        <v>95</v>
      </c>
      <c r="X55"/>
    </row>
    <row r="56" spans="1:24" x14ac:dyDescent="0.35">
      <c r="A56" s="4">
        <v>45346</v>
      </c>
      <c r="B56" s="1" t="s">
        <v>7</v>
      </c>
      <c r="C56" s="1" t="s">
        <v>13</v>
      </c>
      <c r="D56" s="1" t="s">
        <v>18</v>
      </c>
      <c r="E56" s="3">
        <v>35</v>
      </c>
      <c r="F56" s="5">
        <v>773</v>
      </c>
      <c r="G56" s="5">
        <f t="shared" si="4"/>
        <v>22.085714285714285</v>
      </c>
      <c r="H56" s="5">
        <v>191.87725238024311</v>
      </c>
      <c r="I56" s="1" t="str">
        <f t="shared" si="5"/>
        <v>Q1</v>
      </c>
      <c r="J56" s="1">
        <f t="shared" si="6"/>
        <v>2024</v>
      </c>
      <c r="K56" s="8">
        <f t="shared" si="7"/>
        <v>0.24822412985801179</v>
      </c>
      <c r="V56" s="1" t="s">
        <v>7</v>
      </c>
      <c r="W56" s="13">
        <v>154838</v>
      </c>
      <c r="X56"/>
    </row>
    <row r="57" spans="1:24" x14ac:dyDescent="0.35">
      <c r="A57" s="4">
        <v>45347</v>
      </c>
      <c r="B57" s="1" t="s">
        <v>8</v>
      </c>
      <c r="C57" s="1" t="s">
        <v>11</v>
      </c>
      <c r="D57" s="1" t="s">
        <v>19</v>
      </c>
      <c r="E57" s="3">
        <v>41</v>
      </c>
      <c r="F57" s="5">
        <v>4633</v>
      </c>
      <c r="G57" s="5">
        <f t="shared" si="4"/>
        <v>113</v>
      </c>
      <c r="H57" s="5">
        <v>995.60678667250625</v>
      </c>
      <c r="I57" s="1" t="str">
        <f t="shared" si="5"/>
        <v>Q1</v>
      </c>
      <c r="J57" s="1">
        <f t="shared" si="6"/>
        <v>2024</v>
      </c>
      <c r="K57" s="8">
        <f t="shared" si="7"/>
        <v>0.21489462263598236</v>
      </c>
      <c r="V57" s="1" t="s">
        <v>10</v>
      </c>
      <c r="W57" s="13">
        <v>146228</v>
      </c>
      <c r="X57"/>
    </row>
    <row r="58" spans="1:24" x14ac:dyDescent="0.35">
      <c r="A58" s="4">
        <v>45348</v>
      </c>
      <c r="B58" s="1" t="s">
        <v>8</v>
      </c>
      <c r="C58" s="1" t="s">
        <v>11</v>
      </c>
      <c r="D58" s="1" t="s">
        <v>18</v>
      </c>
      <c r="E58" s="3">
        <v>30</v>
      </c>
      <c r="F58" s="5">
        <v>2265</v>
      </c>
      <c r="G58" s="5">
        <f t="shared" si="4"/>
        <v>75.5</v>
      </c>
      <c r="H58" s="5">
        <v>607.84843587149726</v>
      </c>
      <c r="I58" s="1" t="str">
        <f t="shared" si="5"/>
        <v>Q1</v>
      </c>
      <c r="J58" s="1">
        <f t="shared" si="6"/>
        <v>2024</v>
      </c>
      <c r="K58" s="8">
        <f t="shared" si="7"/>
        <v>0.26836575535165441</v>
      </c>
      <c r="V58" s="1" t="s">
        <v>8</v>
      </c>
      <c r="W58" s="13">
        <v>133879</v>
      </c>
      <c r="X58"/>
    </row>
    <row r="59" spans="1:24" x14ac:dyDescent="0.35">
      <c r="A59" s="4">
        <v>45349</v>
      </c>
      <c r="B59" s="1" t="s">
        <v>9</v>
      </c>
      <c r="C59" s="1" t="s">
        <v>14</v>
      </c>
      <c r="D59" s="1" t="s">
        <v>16</v>
      </c>
      <c r="E59" s="3">
        <v>17</v>
      </c>
      <c r="F59" s="5">
        <v>870</v>
      </c>
      <c r="G59" s="5">
        <f t="shared" si="4"/>
        <v>51.176470588235297</v>
      </c>
      <c r="H59" s="5">
        <v>111.32039353297441</v>
      </c>
      <c r="I59" s="1" t="str">
        <f t="shared" si="5"/>
        <v>Q1</v>
      </c>
      <c r="J59" s="1">
        <f t="shared" si="6"/>
        <v>2024</v>
      </c>
      <c r="K59" s="8">
        <f t="shared" si="7"/>
        <v>0.12795447532525794</v>
      </c>
      <c r="V59" s="1" t="s">
        <v>9</v>
      </c>
      <c r="W59" s="13">
        <v>115659</v>
      </c>
      <c r="X59"/>
    </row>
    <row r="60" spans="1:24" x14ac:dyDescent="0.35">
      <c r="A60" s="4">
        <v>45350</v>
      </c>
      <c r="B60" s="1" t="s">
        <v>7</v>
      </c>
      <c r="C60" s="1" t="s">
        <v>11</v>
      </c>
      <c r="D60" s="1" t="s">
        <v>17</v>
      </c>
      <c r="E60" s="3">
        <v>49</v>
      </c>
      <c r="F60" s="5">
        <v>4062</v>
      </c>
      <c r="G60" s="5">
        <f t="shared" si="4"/>
        <v>82.897959183673464</v>
      </c>
      <c r="H60" s="5">
        <v>1052.2751641549751</v>
      </c>
      <c r="I60" s="1" t="str">
        <f t="shared" si="5"/>
        <v>Q1</v>
      </c>
      <c r="J60" s="1">
        <f t="shared" si="6"/>
        <v>2024</v>
      </c>
      <c r="K60" s="8">
        <f t="shared" si="7"/>
        <v>0.25905346237197813</v>
      </c>
      <c r="V60" s="1" t="s">
        <v>92</v>
      </c>
      <c r="W60" s="13">
        <v>550604</v>
      </c>
      <c r="X60"/>
    </row>
    <row r="61" spans="1:24" x14ac:dyDescent="0.35">
      <c r="A61" s="4">
        <v>45351</v>
      </c>
      <c r="B61" s="1" t="s">
        <v>9</v>
      </c>
      <c r="C61" s="1" t="s">
        <v>15</v>
      </c>
      <c r="D61" s="1" t="s">
        <v>17</v>
      </c>
      <c r="E61" s="3">
        <v>20</v>
      </c>
      <c r="F61" s="5">
        <v>4463</v>
      </c>
      <c r="G61" s="5">
        <f t="shared" si="4"/>
        <v>223.15</v>
      </c>
      <c r="H61" s="5">
        <v>626.27254587461675</v>
      </c>
      <c r="I61" s="1" t="str">
        <f t="shared" si="5"/>
        <v>Q1</v>
      </c>
      <c r="J61" s="1">
        <f t="shared" si="6"/>
        <v>2024</v>
      </c>
      <c r="K61" s="8">
        <f t="shared" si="7"/>
        <v>0.1403254640095489</v>
      </c>
      <c r="V61"/>
      <c r="W61"/>
      <c r="X61"/>
    </row>
    <row r="62" spans="1:24" x14ac:dyDescent="0.35">
      <c r="A62" s="4">
        <v>45352</v>
      </c>
      <c r="B62" s="1" t="s">
        <v>7</v>
      </c>
      <c r="C62" s="1" t="s">
        <v>15</v>
      </c>
      <c r="D62" s="1" t="s">
        <v>16</v>
      </c>
      <c r="E62" s="3">
        <v>48</v>
      </c>
      <c r="F62" s="5">
        <v>2084</v>
      </c>
      <c r="G62" s="5">
        <f t="shared" si="4"/>
        <v>43.416666666666664</v>
      </c>
      <c r="H62" s="5">
        <v>276.61179698642559</v>
      </c>
      <c r="I62" s="1" t="str">
        <f t="shared" si="5"/>
        <v>Q2</v>
      </c>
      <c r="J62" s="1">
        <f t="shared" si="6"/>
        <v>2024</v>
      </c>
      <c r="K62" s="8">
        <f t="shared" si="7"/>
        <v>0.13273118857314087</v>
      </c>
      <c r="V62"/>
      <c r="W62"/>
      <c r="X62"/>
    </row>
    <row r="63" spans="1:24" x14ac:dyDescent="0.35">
      <c r="A63" s="4">
        <v>45353</v>
      </c>
      <c r="B63" s="1" t="s">
        <v>7</v>
      </c>
      <c r="C63" s="1" t="s">
        <v>12</v>
      </c>
      <c r="D63" s="1" t="s">
        <v>17</v>
      </c>
      <c r="E63" s="3">
        <v>25</v>
      </c>
      <c r="F63" s="5">
        <v>1177</v>
      </c>
      <c r="G63" s="5">
        <f t="shared" si="4"/>
        <v>47.08</v>
      </c>
      <c r="H63" s="5">
        <v>156.36816883295569</v>
      </c>
      <c r="I63" s="1" t="str">
        <f t="shared" si="5"/>
        <v>Q2</v>
      </c>
      <c r="J63" s="1">
        <f t="shared" si="6"/>
        <v>2024</v>
      </c>
      <c r="K63" s="8">
        <f t="shared" si="7"/>
        <v>0.13285315958619853</v>
      </c>
      <c r="V63"/>
      <c r="W63"/>
      <c r="X63"/>
    </row>
    <row r="64" spans="1:24" x14ac:dyDescent="0.35">
      <c r="A64" s="4">
        <v>45354</v>
      </c>
      <c r="B64" s="1" t="s">
        <v>9</v>
      </c>
      <c r="C64" s="1" t="s">
        <v>13</v>
      </c>
      <c r="D64" s="1" t="s">
        <v>16</v>
      </c>
      <c r="E64" s="3">
        <v>22</v>
      </c>
      <c r="F64" s="5">
        <v>335</v>
      </c>
      <c r="G64" s="5">
        <f t="shared" si="4"/>
        <v>15.227272727272727</v>
      </c>
      <c r="H64" s="5">
        <v>88.076506255502593</v>
      </c>
      <c r="I64" s="1" t="str">
        <f t="shared" si="5"/>
        <v>Q2</v>
      </c>
      <c r="J64" s="1">
        <f t="shared" si="6"/>
        <v>2024</v>
      </c>
      <c r="K64" s="8">
        <f t="shared" si="7"/>
        <v>0.26291494404627641</v>
      </c>
      <c r="V64"/>
      <c r="W64"/>
      <c r="X64"/>
    </row>
    <row r="65" spans="1:24" x14ac:dyDescent="0.35">
      <c r="A65" s="4">
        <v>45355</v>
      </c>
      <c r="B65" s="1" t="s">
        <v>9</v>
      </c>
      <c r="C65" s="1" t="s">
        <v>11</v>
      </c>
      <c r="D65" s="1" t="s">
        <v>16</v>
      </c>
      <c r="E65" s="3">
        <v>13</v>
      </c>
      <c r="F65" s="5">
        <v>488</v>
      </c>
      <c r="G65" s="5">
        <f t="shared" si="4"/>
        <v>37.53846153846154</v>
      </c>
      <c r="H65" s="5">
        <v>113.7232487399491</v>
      </c>
      <c r="I65" s="1" t="str">
        <f t="shared" si="5"/>
        <v>Q2</v>
      </c>
      <c r="J65" s="1">
        <f t="shared" si="6"/>
        <v>2024</v>
      </c>
      <c r="K65" s="8">
        <f t="shared" si="7"/>
        <v>0.23303944413923997</v>
      </c>
      <c r="V65"/>
      <c r="W65"/>
      <c r="X65"/>
    </row>
    <row r="66" spans="1:24" x14ac:dyDescent="0.35">
      <c r="A66" s="4">
        <v>45356</v>
      </c>
      <c r="B66" s="1" t="s">
        <v>7</v>
      </c>
      <c r="C66" s="1" t="s">
        <v>11</v>
      </c>
      <c r="D66" s="1" t="s">
        <v>16</v>
      </c>
      <c r="E66" s="3">
        <v>19</v>
      </c>
      <c r="F66" s="5">
        <v>3137</v>
      </c>
      <c r="G66" s="5">
        <f t="shared" ref="G66:G97" si="8">F66/E66</f>
        <v>165.10526315789474</v>
      </c>
      <c r="H66" s="5">
        <v>641.87124750014539</v>
      </c>
      <c r="I66" s="1" t="str">
        <f t="shared" ref="I66:I97" si="9">"Q"&amp;ROUND(INT(MONTH(A66)+2)/3,0)</f>
        <v>Q2</v>
      </c>
      <c r="J66" s="1">
        <f t="shared" ref="J66:J97" si="10">YEAR(A66)</f>
        <v>2024</v>
      </c>
      <c r="K66" s="8">
        <f t="shared" ref="K66:K97" si="11">IF(F66=0,0,H66/F66)</f>
        <v>0.20461308495382385</v>
      </c>
      <c r="V66"/>
      <c r="W66"/>
      <c r="X66"/>
    </row>
    <row r="67" spans="1:24" x14ac:dyDescent="0.35">
      <c r="A67" s="4">
        <v>45357</v>
      </c>
      <c r="B67" s="1" t="s">
        <v>10</v>
      </c>
      <c r="C67" s="1" t="s">
        <v>14</v>
      </c>
      <c r="D67" s="1" t="s">
        <v>17</v>
      </c>
      <c r="E67" s="3">
        <v>49</v>
      </c>
      <c r="F67" s="5">
        <v>4958</v>
      </c>
      <c r="G67" s="5">
        <f t="shared" si="8"/>
        <v>101.18367346938776</v>
      </c>
      <c r="H67" s="5">
        <v>851.61630805686514</v>
      </c>
      <c r="I67" s="1" t="str">
        <f t="shared" si="9"/>
        <v>Q2</v>
      </c>
      <c r="J67" s="1">
        <f t="shared" si="10"/>
        <v>2024</v>
      </c>
      <c r="K67" s="8">
        <f t="shared" si="11"/>
        <v>0.17176609682470051</v>
      </c>
      <c r="V67"/>
      <c r="W67"/>
      <c r="X67"/>
    </row>
    <row r="68" spans="1:24" x14ac:dyDescent="0.35">
      <c r="A68" s="4">
        <v>45358</v>
      </c>
      <c r="B68" s="1" t="s">
        <v>8</v>
      </c>
      <c r="C68" s="1" t="s">
        <v>15</v>
      </c>
      <c r="D68" s="1" t="s">
        <v>18</v>
      </c>
      <c r="E68" s="3">
        <v>36</v>
      </c>
      <c r="F68" s="5">
        <v>1948</v>
      </c>
      <c r="G68" s="5">
        <f t="shared" si="8"/>
        <v>54.111111111111114</v>
      </c>
      <c r="H68" s="5">
        <v>536.55733070078702</v>
      </c>
      <c r="I68" s="1" t="str">
        <f t="shared" si="9"/>
        <v>Q2</v>
      </c>
      <c r="J68" s="1">
        <f t="shared" si="10"/>
        <v>2024</v>
      </c>
      <c r="K68" s="8">
        <f t="shared" si="11"/>
        <v>0.27544010816262166</v>
      </c>
      <c r="V68"/>
      <c r="W68"/>
      <c r="X68"/>
    </row>
    <row r="69" spans="1:24" x14ac:dyDescent="0.35">
      <c r="A69" s="4">
        <v>45359</v>
      </c>
      <c r="B69" s="1" t="s">
        <v>9</v>
      </c>
      <c r="C69" s="1" t="s">
        <v>13</v>
      </c>
      <c r="D69" s="1" t="s">
        <v>16</v>
      </c>
      <c r="E69" s="3">
        <v>12</v>
      </c>
      <c r="F69" s="5">
        <v>4819</v>
      </c>
      <c r="G69" s="5">
        <f t="shared" si="8"/>
        <v>401.58333333333331</v>
      </c>
      <c r="H69" s="5">
        <v>860.13859453393604</v>
      </c>
      <c r="I69" s="1" t="str">
        <f t="shared" si="9"/>
        <v>Q2</v>
      </c>
      <c r="J69" s="1">
        <f t="shared" si="10"/>
        <v>2024</v>
      </c>
      <c r="K69" s="8">
        <f t="shared" si="11"/>
        <v>0.17848902148452708</v>
      </c>
      <c r="V69"/>
      <c r="W69"/>
      <c r="X69"/>
    </row>
    <row r="70" spans="1:24" x14ac:dyDescent="0.35">
      <c r="A70" s="4">
        <v>45360</v>
      </c>
      <c r="B70" s="1" t="s">
        <v>8</v>
      </c>
      <c r="C70" s="1" t="s">
        <v>12</v>
      </c>
      <c r="D70" s="1" t="s">
        <v>19</v>
      </c>
      <c r="E70" s="3">
        <v>41</v>
      </c>
      <c r="F70" s="5">
        <v>2914</v>
      </c>
      <c r="G70" s="5">
        <f t="shared" si="8"/>
        <v>71.073170731707322</v>
      </c>
      <c r="H70" s="5">
        <v>767.31415332403503</v>
      </c>
      <c r="I70" s="1" t="str">
        <f t="shared" si="9"/>
        <v>Q2</v>
      </c>
      <c r="J70" s="1">
        <f t="shared" si="10"/>
        <v>2024</v>
      </c>
      <c r="K70" s="8">
        <f t="shared" si="11"/>
        <v>0.26331988789431537</v>
      </c>
      <c r="V70"/>
      <c r="W70"/>
      <c r="X70"/>
    </row>
    <row r="71" spans="1:24" x14ac:dyDescent="0.35">
      <c r="A71" s="4">
        <v>45361</v>
      </c>
      <c r="B71" s="1" t="s">
        <v>10</v>
      </c>
      <c r="C71" s="1" t="s">
        <v>15</v>
      </c>
      <c r="D71" s="1" t="s">
        <v>17</v>
      </c>
      <c r="E71" s="3">
        <v>19</v>
      </c>
      <c r="F71" s="5">
        <v>3474</v>
      </c>
      <c r="G71" s="5">
        <f t="shared" si="8"/>
        <v>182.84210526315789</v>
      </c>
      <c r="H71" s="5">
        <v>652.51093447458766</v>
      </c>
      <c r="I71" s="1" t="str">
        <f t="shared" si="9"/>
        <v>Q2</v>
      </c>
      <c r="J71" s="1">
        <f t="shared" si="10"/>
        <v>2024</v>
      </c>
      <c r="K71" s="8">
        <f t="shared" si="11"/>
        <v>0.18782698171404366</v>
      </c>
      <c r="V71"/>
      <c r="W71"/>
      <c r="X71"/>
    </row>
    <row r="72" spans="1:24" x14ac:dyDescent="0.35">
      <c r="A72" s="4">
        <v>45362</v>
      </c>
      <c r="B72" s="1" t="s">
        <v>10</v>
      </c>
      <c r="C72" s="1" t="s">
        <v>12</v>
      </c>
      <c r="D72" s="1" t="s">
        <v>16</v>
      </c>
      <c r="E72" s="3">
        <v>12</v>
      </c>
      <c r="F72" s="5">
        <v>3378</v>
      </c>
      <c r="G72" s="5">
        <f t="shared" si="8"/>
        <v>281.5</v>
      </c>
      <c r="H72" s="5">
        <v>592.46365651946758</v>
      </c>
      <c r="I72" s="1" t="str">
        <f t="shared" si="9"/>
        <v>Q2</v>
      </c>
      <c r="J72" s="1">
        <f t="shared" si="10"/>
        <v>2024</v>
      </c>
      <c r="K72" s="8">
        <f t="shared" si="11"/>
        <v>0.17538888588498153</v>
      </c>
      <c r="V72"/>
      <c r="W72"/>
      <c r="X72"/>
    </row>
    <row r="73" spans="1:24" x14ac:dyDescent="0.35">
      <c r="A73" s="4">
        <v>45363</v>
      </c>
      <c r="B73" s="1" t="s">
        <v>10</v>
      </c>
      <c r="C73" s="1" t="s">
        <v>14</v>
      </c>
      <c r="D73" s="1" t="s">
        <v>16</v>
      </c>
      <c r="E73" s="3">
        <v>9</v>
      </c>
      <c r="F73" s="5">
        <v>1352</v>
      </c>
      <c r="G73" s="5">
        <f t="shared" si="8"/>
        <v>150.22222222222223</v>
      </c>
      <c r="H73" s="5">
        <v>260.30861404506157</v>
      </c>
      <c r="I73" s="1" t="str">
        <f t="shared" si="9"/>
        <v>Q2</v>
      </c>
      <c r="J73" s="1">
        <f t="shared" si="10"/>
        <v>2024</v>
      </c>
      <c r="K73" s="8">
        <f t="shared" si="11"/>
        <v>0.19253595713392127</v>
      </c>
    </row>
    <row r="74" spans="1:24" x14ac:dyDescent="0.35">
      <c r="A74" s="4">
        <v>45364</v>
      </c>
      <c r="B74" s="1" t="s">
        <v>9</v>
      </c>
      <c r="C74" s="1" t="s">
        <v>14</v>
      </c>
      <c r="D74" s="1" t="s">
        <v>19</v>
      </c>
      <c r="E74" s="3">
        <v>7</v>
      </c>
      <c r="F74" s="5">
        <v>4081</v>
      </c>
      <c r="G74" s="5">
        <f t="shared" si="8"/>
        <v>583</v>
      </c>
      <c r="H74" s="5">
        <v>654.08462089277282</v>
      </c>
      <c r="I74" s="1" t="str">
        <f t="shared" si="9"/>
        <v>Q2</v>
      </c>
      <c r="J74" s="1">
        <f t="shared" si="10"/>
        <v>2024</v>
      </c>
      <c r="K74" s="8">
        <f t="shared" si="11"/>
        <v>0.16027557483282842</v>
      </c>
    </row>
    <row r="75" spans="1:24" x14ac:dyDescent="0.35">
      <c r="A75" s="4">
        <v>45365</v>
      </c>
      <c r="B75" s="1" t="s">
        <v>10</v>
      </c>
      <c r="C75" s="1" t="s">
        <v>11</v>
      </c>
      <c r="D75" s="1" t="s">
        <v>18</v>
      </c>
      <c r="E75" s="3">
        <v>28</v>
      </c>
      <c r="F75" s="5">
        <v>4773</v>
      </c>
      <c r="G75" s="5">
        <f t="shared" si="8"/>
        <v>170.46428571428572</v>
      </c>
      <c r="H75" s="5">
        <v>1190.9679143162491</v>
      </c>
      <c r="I75" s="1" t="str">
        <f t="shared" si="9"/>
        <v>Q2</v>
      </c>
      <c r="J75" s="1">
        <f t="shared" si="10"/>
        <v>2024</v>
      </c>
      <c r="K75" s="8">
        <f t="shared" si="11"/>
        <v>0.24952187603525017</v>
      </c>
    </row>
    <row r="76" spans="1:24" x14ac:dyDescent="0.35">
      <c r="A76" s="4">
        <v>45366</v>
      </c>
      <c r="B76" s="1" t="s">
        <v>9</v>
      </c>
      <c r="C76" s="1" t="s">
        <v>13</v>
      </c>
      <c r="D76" s="1" t="s">
        <v>18</v>
      </c>
      <c r="E76" s="3">
        <v>14</v>
      </c>
      <c r="F76" s="5">
        <v>2222</v>
      </c>
      <c r="G76" s="5">
        <f t="shared" si="8"/>
        <v>158.71428571428572</v>
      </c>
      <c r="H76" s="5">
        <v>445.60894135709782</v>
      </c>
      <c r="I76" s="1" t="str">
        <f t="shared" si="9"/>
        <v>Q2</v>
      </c>
      <c r="J76" s="1">
        <f t="shared" si="10"/>
        <v>2024</v>
      </c>
      <c r="K76" s="8">
        <f t="shared" si="11"/>
        <v>0.20054407801849586</v>
      </c>
    </row>
    <row r="77" spans="1:24" x14ac:dyDescent="0.35">
      <c r="A77" s="4">
        <v>45367</v>
      </c>
      <c r="B77" s="1" t="s">
        <v>10</v>
      </c>
      <c r="C77" s="1" t="s">
        <v>12</v>
      </c>
      <c r="D77" s="1" t="s">
        <v>18</v>
      </c>
      <c r="E77" s="3">
        <v>31</v>
      </c>
      <c r="F77" s="5">
        <v>4630</v>
      </c>
      <c r="G77" s="5">
        <f t="shared" si="8"/>
        <v>149.35483870967741</v>
      </c>
      <c r="H77" s="5">
        <v>678.02895570595285</v>
      </c>
      <c r="I77" s="1" t="str">
        <f t="shared" si="9"/>
        <v>Q2</v>
      </c>
      <c r="J77" s="1">
        <f t="shared" si="10"/>
        <v>2024</v>
      </c>
      <c r="K77" s="8">
        <f t="shared" si="11"/>
        <v>0.14644253902936347</v>
      </c>
    </row>
    <row r="78" spans="1:24" x14ac:dyDescent="0.35">
      <c r="A78" s="4">
        <v>45368</v>
      </c>
      <c r="B78" s="1" t="s">
        <v>8</v>
      </c>
      <c r="C78" s="1" t="s">
        <v>15</v>
      </c>
      <c r="D78" s="1" t="s">
        <v>16</v>
      </c>
      <c r="E78" s="3">
        <v>19</v>
      </c>
      <c r="F78" s="5">
        <v>2250</v>
      </c>
      <c r="G78" s="5">
        <f t="shared" si="8"/>
        <v>118.42105263157895</v>
      </c>
      <c r="H78" s="5">
        <v>629.80855797355582</v>
      </c>
      <c r="I78" s="1" t="str">
        <f t="shared" si="9"/>
        <v>Q2</v>
      </c>
      <c r="J78" s="1">
        <f t="shared" si="10"/>
        <v>2024</v>
      </c>
      <c r="K78" s="8">
        <f t="shared" si="11"/>
        <v>0.27991491465491369</v>
      </c>
    </row>
    <row r="79" spans="1:24" x14ac:dyDescent="0.35">
      <c r="A79" s="4">
        <v>45369</v>
      </c>
      <c r="B79" s="1" t="s">
        <v>8</v>
      </c>
      <c r="C79" s="1" t="s">
        <v>14</v>
      </c>
      <c r="D79" s="1" t="s">
        <v>16</v>
      </c>
      <c r="E79" s="3">
        <v>47</v>
      </c>
      <c r="F79" s="5">
        <v>4959</v>
      </c>
      <c r="G79" s="5">
        <f t="shared" si="8"/>
        <v>105.51063829787235</v>
      </c>
      <c r="H79" s="5">
        <v>876.64331335795111</v>
      </c>
      <c r="I79" s="1" t="str">
        <f t="shared" si="9"/>
        <v>Q2</v>
      </c>
      <c r="J79" s="1">
        <f t="shared" si="10"/>
        <v>2024</v>
      </c>
      <c r="K79" s="8">
        <f t="shared" si="11"/>
        <v>0.17677824427464228</v>
      </c>
    </row>
    <row r="80" spans="1:24" x14ac:dyDescent="0.35">
      <c r="A80" s="4">
        <v>45370</v>
      </c>
      <c r="B80" s="1" t="s">
        <v>7</v>
      </c>
      <c r="C80" s="1" t="s">
        <v>11</v>
      </c>
      <c r="D80" s="1" t="s">
        <v>16</v>
      </c>
      <c r="E80" s="3">
        <v>16</v>
      </c>
      <c r="F80" s="5">
        <v>1429</v>
      </c>
      <c r="G80" s="5">
        <f t="shared" si="8"/>
        <v>89.3125</v>
      </c>
      <c r="H80" s="5">
        <v>298.24740770637789</v>
      </c>
      <c r="I80" s="1" t="str">
        <f t="shared" si="9"/>
        <v>Q2</v>
      </c>
      <c r="J80" s="1">
        <f t="shared" si="10"/>
        <v>2024</v>
      </c>
      <c r="K80" s="8">
        <f t="shared" si="11"/>
        <v>0.20871057222279768</v>
      </c>
    </row>
    <row r="81" spans="1:11" x14ac:dyDescent="0.35">
      <c r="A81" s="4">
        <v>45371</v>
      </c>
      <c r="B81" s="1" t="s">
        <v>8</v>
      </c>
      <c r="C81" s="1" t="s">
        <v>11</v>
      </c>
      <c r="D81" s="1" t="s">
        <v>17</v>
      </c>
      <c r="E81" s="3">
        <v>5</v>
      </c>
      <c r="F81" s="5">
        <v>1458</v>
      </c>
      <c r="G81" s="5">
        <f t="shared" si="8"/>
        <v>291.60000000000002</v>
      </c>
      <c r="H81" s="5">
        <v>410.1272675572618</v>
      </c>
      <c r="I81" s="1" t="str">
        <f t="shared" si="9"/>
        <v>Q2</v>
      </c>
      <c r="J81" s="1">
        <f t="shared" si="10"/>
        <v>2024</v>
      </c>
      <c r="K81" s="8">
        <f t="shared" si="11"/>
        <v>0.28129442219290934</v>
      </c>
    </row>
    <row r="82" spans="1:11" x14ac:dyDescent="0.35">
      <c r="A82" s="4">
        <v>45372</v>
      </c>
      <c r="B82" s="1" t="s">
        <v>7</v>
      </c>
      <c r="C82" s="1" t="s">
        <v>12</v>
      </c>
      <c r="D82" s="1" t="s">
        <v>19</v>
      </c>
      <c r="E82" s="3">
        <v>35</v>
      </c>
      <c r="F82" s="5">
        <v>2582</v>
      </c>
      <c r="G82" s="5">
        <f t="shared" si="8"/>
        <v>73.771428571428572</v>
      </c>
      <c r="H82" s="5">
        <v>580.55650108998543</v>
      </c>
      <c r="I82" s="1" t="str">
        <f t="shared" si="9"/>
        <v>Q2</v>
      </c>
      <c r="J82" s="1">
        <f t="shared" si="10"/>
        <v>2024</v>
      </c>
      <c r="K82" s="8">
        <f t="shared" si="11"/>
        <v>0.2248475991827984</v>
      </c>
    </row>
    <row r="83" spans="1:11" x14ac:dyDescent="0.35">
      <c r="A83" s="4">
        <v>45373</v>
      </c>
      <c r="B83" s="1" t="s">
        <v>8</v>
      </c>
      <c r="C83" s="1" t="s">
        <v>14</v>
      </c>
      <c r="D83" s="1" t="s">
        <v>16</v>
      </c>
      <c r="E83" s="3">
        <v>12</v>
      </c>
      <c r="F83" s="5">
        <v>4642</v>
      </c>
      <c r="G83" s="5">
        <f t="shared" si="8"/>
        <v>386.83333333333331</v>
      </c>
      <c r="H83" s="5">
        <v>572.72814099364518</v>
      </c>
      <c r="I83" s="1" t="str">
        <f t="shared" si="9"/>
        <v>Q2</v>
      </c>
      <c r="J83" s="1">
        <f t="shared" si="10"/>
        <v>2024</v>
      </c>
      <c r="K83" s="8">
        <f t="shared" si="11"/>
        <v>0.12337960814167281</v>
      </c>
    </row>
    <row r="84" spans="1:11" x14ac:dyDescent="0.35">
      <c r="A84" s="4">
        <v>45374</v>
      </c>
      <c r="B84" s="1" t="s">
        <v>9</v>
      </c>
      <c r="C84" s="1" t="s">
        <v>13</v>
      </c>
      <c r="D84" s="1" t="s">
        <v>19</v>
      </c>
      <c r="E84" s="3">
        <v>25</v>
      </c>
      <c r="F84" s="5">
        <v>2117</v>
      </c>
      <c r="G84" s="5">
        <f t="shared" si="8"/>
        <v>84.68</v>
      </c>
      <c r="H84" s="5">
        <v>609.62492113794531</v>
      </c>
      <c r="I84" s="1" t="str">
        <f t="shared" si="9"/>
        <v>Q2</v>
      </c>
      <c r="J84" s="1">
        <f t="shared" si="10"/>
        <v>2024</v>
      </c>
      <c r="K84" s="8">
        <f t="shared" si="11"/>
        <v>0.28796642472269501</v>
      </c>
    </row>
    <row r="85" spans="1:11" x14ac:dyDescent="0.35">
      <c r="A85" s="4">
        <v>45375</v>
      </c>
      <c r="B85" s="1" t="s">
        <v>8</v>
      </c>
      <c r="C85" s="1" t="s">
        <v>14</v>
      </c>
      <c r="D85" s="1" t="s">
        <v>19</v>
      </c>
      <c r="E85" s="3">
        <v>21</v>
      </c>
      <c r="F85" s="5">
        <v>1431</v>
      </c>
      <c r="G85" s="5">
        <f t="shared" si="8"/>
        <v>68.142857142857139</v>
      </c>
      <c r="H85" s="5">
        <v>322.7500447890398</v>
      </c>
      <c r="I85" s="1" t="str">
        <f t="shared" si="9"/>
        <v>Q2</v>
      </c>
      <c r="J85" s="1">
        <f t="shared" si="10"/>
        <v>2024</v>
      </c>
      <c r="K85" s="8">
        <f t="shared" si="11"/>
        <v>0.22554161061428357</v>
      </c>
    </row>
    <row r="86" spans="1:11" x14ac:dyDescent="0.35">
      <c r="A86" s="4">
        <v>45376</v>
      </c>
      <c r="B86" s="1" t="s">
        <v>7</v>
      </c>
      <c r="C86" s="1" t="s">
        <v>12</v>
      </c>
      <c r="D86" s="1" t="s">
        <v>18</v>
      </c>
      <c r="E86" s="3">
        <v>36</v>
      </c>
      <c r="F86" s="5">
        <v>4444</v>
      </c>
      <c r="G86" s="5">
        <f t="shared" si="8"/>
        <v>123.44444444444444</v>
      </c>
      <c r="H86" s="5">
        <v>742.06411030721813</v>
      </c>
      <c r="I86" s="1" t="str">
        <f t="shared" si="9"/>
        <v>Q2</v>
      </c>
      <c r="J86" s="1">
        <f t="shared" si="10"/>
        <v>2024</v>
      </c>
      <c r="K86" s="8">
        <f t="shared" si="11"/>
        <v>0.16698112293141723</v>
      </c>
    </row>
    <row r="87" spans="1:11" x14ac:dyDescent="0.35">
      <c r="A87" s="4">
        <v>45377</v>
      </c>
      <c r="B87" s="1" t="s">
        <v>7</v>
      </c>
      <c r="C87" s="1" t="s">
        <v>12</v>
      </c>
      <c r="D87" s="1" t="s">
        <v>17</v>
      </c>
      <c r="E87" s="3">
        <v>23</v>
      </c>
      <c r="F87" s="5">
        <v>4361</v>
      </c>
      <c r="G87" s="5">
        <f t="shared" si="8"/>
        <v>189.60869565217391</v>
      </c>
      <c r="H87" s="5">
        <v>557.5731017770064</v>
      </c>
      <c r="I87" s="1" t="str">
        <f t="shared" si="9"/>
        <v>Q2</v>
      </c>
      <c r="J87" s="1">
        <f t="shared" si="10"/>
        <v>2024</v>
      </c>
      <c r="K87" s="8">
        <f t="shared" si="11"/>
        <v>0.12785441453267746</v>
      </c>
    </row>
    <row r="88" spans="1:11" x14ac:dyDescent="0.35">
      <c r="A88" s="4">
        <v>45378</v>
      </c>
      <c r="B88" s="1" t="s">
        <v>10</v>
      </c>
      <c r="C88" s="1" t="s">
        <v>14</v>
      </c>
      <c r="D88" s="1" t="s">
        <v>16</v>
      </c>
      <c r="E88" s="3">
        <v>16</v>
      </c>
      <c r="F88" s="5">
        <v>1458</v>
      </c>
      <c r="G88" s="5">
        <f t="shared" si="8"/>
        <v>91.125</v>
      </c>
      <c r="H88" s="5">
        <v>377.33774519121829</v>
      </c>
      <c r="I88" s="1" t="str">
        <f t="shared" si="9"/>
        <v>Q2</v>
      </c>
      <c r="J88" s="1">
        <f t="shared" si="10"/>
        <v>2024</v>
      </c>
      <c r="K88" s="8">
        <f t="shared" si="11"/>
        <v>0.25880503785405917</v>
      </c>
    </row>
    <row r="89" spans="1:11" x14ac:dyDescent="0.35">
      <c r="A89" s="4">
        <v>45379</v>
      </c>
      <c r="B89" s="1" t="s">
        <v>9</v>
      </c>
      <c r="C89" s="1" t="s">
        <v>12</v>
      </c>
      <c r="D89" s="1" t="s">
        <v>18</v>
      </c>
      <c r="E89" s="3">
        <v>39</v>
      </c>
      <c r="F89" s="5">
        <v>4737</v>
      </c>
      <c r="G89" s="5">
        <f t="shared" si="8"/>
        <v>121.46153846153847</v>
      </c>
      <c r="H89" s="5">
        <v>1061.1569289666741</v>
      </c>
      <c r="I89" s="1" t="str">
        <f t="shared" si="9"/>
        <v>Q2</v>
      </c>
      <c r="J89" s="1">
        <f t="shared" si="10"/>
        <v>2024</v>
      </c>
      <c r="K89" s="8">
        <f t="shared" si="11"/>
        <v>0.22401455118570276</v>
      </c>
    </row>
    <row r="90" spans="1:11" x14ac:dyDescent="0.35">
      <c r="A90" s="4">
        <v>45380</v>
      </c>
      <c r="B90" s="1" t="s">
        <v>8</v>
      </c>
      <c r="C90" s="1" t="s">
        <v>14</v>
      </c>
      <c r="D90" s="1" t="s">
        <v>18</v>
      </c>
      <c r="E90" s="3">
        <v>45</v>
      </c>
      <c r="F90" s="5">
        <v>4954</v>
      </c>
      <c r="G90" s="5">
        <f t="shared" si="8"/>
        <v>110.08888888888889</v>
      </c>
      <c r="H90" s="5">
        <v>1023.953249930139</v>
      </c>
      <c r="I90" s="1" t="str">
        <f t="shared" si="9"/>
        <v>Q2</v>
      </c>
      <c r="J90" s="1">
        <f t="shared" si="10"/>
        <v>2024</v>
      </c>
      <c r="K90" s="8">
        <f t="shared" si="11"/>
        <v>0.20669221839526422</v>
      </c>
    </row>
    <row r="91" spans="1:11" x14ac:dyDescent="0.35">
      <c r="A91" s="4">
        <v>45381</v>
      </c>
      <c r="B91" s="1" t="s">
        <v>10</v>
      </c>
      <c r="C91" s="1" t="s">
        <v>15</v>
      </c>
      <c r="D91" s="1" t="s">
        <v>16</v>
      </c>
      <c r="E91" s="3">
        <v>42</v>
      </c>
      <c r="F91" s="5">
        <v>3277</v>
      </c>
      <c r="G91" s="5">
        <f t="shared" si="8"/>
        <v>78.023809523809518</v>
      </c>
      <c r="H91" s="5">
        <v>913.55719893159744</v>
      </c>
      <c r="I91" s="1" t="str">
        <f t="shared" si="9"/>
        <v>Q2</v>
      </c>
      <c r="J91" s="1">
        <f t="shared" si="10"/>
        <v>2024</v>
      </c>
      <c r="K91" s="8">
        <f t="shared" si="11"/>
        <v>0.27877851661019148</v>
      </c>
    </row>
    <row r="92" spans="1:11" x14ac:dyDescent="0.35">
      <c r="A92" s="4">
        <v>45382</v>
      </c>
      <c r="B92" s="1" t="s">
        <v>8</v>
      </c>
      <c r="C92" s="1" t="s">
        <v>14</v>
      </c>
      <c r="D92" s="1" t="s">
        <v>19</v>
      </c>
      <c r="E92" s="3">
        <v>39</v>
      </c>
      <c r="F92" s="5">
        <v>2228</v>
      </c>
      <c r="G92" s="5">
        <f t="shared" si="8"/>
        <v>57.128205128205131</v>
      </c>
      <c r="H92" s="5">
        <v>574.19891732165092</v>
      </c>
      <c r="I92" s="1" t="str">
        <f t="shared" si="9"/>
        <v>Q2</v>
      </c>
      <c r="J92" s="1">
        <f t="shared" si="10"/>
        <v>2024</v>
      </c>
      <c r="K92" s="8">
        <f t="shared" si="11"/>
        <v>0.25771944224490617</v>
      </c>
    </row>
    <row r="93" spans="1:11" x14ac:dyDescent="0.35">
      <c r="A93" s="4">
        <v>45383</v>
      </c>
      <c r="B93" s="1" t="s">
        <v>8</v>
      </c>
      <c r="C93" s="1" t="s">
        <v>14</v>
      </c>
      <c r="D93" s="1" t="s">
        <v>18</v>
      </c>
      <c r="E93" s="3">
        <v>14</v>
      </c>
      <c r="F93" s="5">
        <v>2280</v>
      </c>
      <c r="G93" s="5">
        <f t="shared" si="8"/>
        <v>162.85714285714286</v>
      </c>
      <c r="H93" s="5">
        <v>297.16374515813459</v>
      </c>
      <c r="I93" s="1" t="str">
        <f t="shared" si="9"/>
        <v>Q2</v>
      </c>
      <c r="J93" s="1">
        <f t="shared" si="10"/>
        <v>2024</v>
      </c>
      <c r="K93" s="8">
        <f t="shared" si="11"/>
        <v>0.13033497594655025</v>
      </c>
    </row>
    <row r="94" spans="1:11" x14ac:dyDescent="0.35">
      <c r="A94" s="4">
        <v>45384</v>
      </c>
      <c r="B94" s="1" t="s">
        <v>10</v>
      </c>
      <c r="C94" s="1" t="s">
        <v>12</v>
      </c>
      <c r="D94" s="1" t="s">
        <v>19</v>
      </c>
      <c r="E94" s="3">
        <v>31</v>
      </c>
      <c r="F94" s="5">
        <v>4992</v>
      </c>
      <c r="G94" s="5">
        <f t="shared" si="8"/>
        <v>161.03225806451613</v>
      </c>
      <c r="H94" s="5">
        <v>810.42331248707535</v>
      </c>
      <c r="I94" s="1" t="str">
        <f t="shared" si="9"/>
        <v>Q2</v>
      </c>
      <c r="J94" s="1">
        <f t="shared" si="10"/>
        <v>2024</v>
      </c>
      <c r="K94" s="8">
        <f t="shared" si="11"/>
        <v>0.16234441355910964</v>
      </c>
    </row>
    <row r="95" spans="1:11" x14ac:dyDescent="0.35">
      <c r="A95" s="4">
        <v>45385</v>
      </c>
      <c r="B95" s="1" t="s">
        <v>10</v>
      </c>
      <c r="C95" s="1" t="s">
        <v>12</v>
      </c>
      <c r="D95" s="1" t="s">
        <v>17</v>
      </c>
      <c r="E95" s="3">
        <v>5</v>
      </c>
      <c r="F95" s="5">
        <v>237</v>
      </c>
      <c r="G95" s="5">
        <f t="shared" si="8"/>
        <v>47.4</v>
      </c>
      <c r="H95" s="5">
        <v>35.478385227205678</v>
      </c>
      <c r="I95" s="1" t="str">
        <f t="shared" si="9"/>
        <v>Q2</v>
      </c>
      <c r="J95" s="1">
        <f t="shared" si="10"/>
        <v>2024</v>
      </c>
      <c r="K95" s="8">
        <f t="shared" si="11"/>
        <v>0.14969782796289316</v>
      </c>
    </row>
    <row r="96" spans="1:11" x14ac:dyDescent="0.35">
      <c r="A96" s="4">
        <v>45386</v>
      </c>
      <c r="B96" s="1" t="s">
        <v>10</v>
      </c>
      <c r="C96" s="1" t="s">
        <v>11</v>
      </c>
      <c r="D96" s="1" t="s">
        <v>19</v>
      </c>
      <c r="E96" s="3">
        <v>35</v>
      </c>
      <c r="F96" s="5">
        <v>3572</v>
      </c>
      <c r="G96" s="5">
        <f t="shared" si="8"/>
        <v>102.05714285714286</v>
      </c>
      <c r="H96" s="5">
        <v>888.67523141392041</v>
      </c>
      <c r="I96" s="1" t="str">
        <f t="shared" si="9"/>
        <v>Q2</v>
      </c>
      <c r="J96" s="1">
        <f t="shared" si="10"/>
        <v>2024</v>
      </c>
      <c r="K96" s="8">
        <f t="shared" si="11"/>
        <v>0.2487892585145354</v>
      </c>
    </row>
    <row r="97" spans="1:11" x14ac:dyDescent="0.35">
      <c r="A97" s="4">
        <v>45387</v>
      </c>
      <c r="B97" s="1" t="s">
        <v>10</v>
      </c>
      <c r="C97" s="1" t="s">
        <v>11</v>
      </c>
      <c r="D97" s="1" t="s">
        <v>17</v>
      </c>
      <c r="E97" s="3">
        <v>23</v>
      </c>
      <c r="F97" s="5">
        <v>2932</v>
      </c>
      <c r="G97" s="5">
        <f t="shared" si="8"/>
        <v>127.47826086956522</v>
      </c>
      <c r="H97" s="5">
        <v>312.86341972906098</v>
      </c>
      <c r="I97" s="1" t="str">
        <f t="shared" si="9"/>
        <v>Q2</v>
      </c>
      <c r="J97" s="1">
        <f t="shared" si="10"/>
        <v>2024</v>
      </c>
      <c r="K97" s="8">
        <f t="shared" si="11"/>
        <v>0.10670648694715586</v>
      </c>
    </row>
    <row r="98" spans="1:11" x14ac:dyDescent="0.35">
      <c r="A98" s="4">
        <v>45388</v>
      </c>
      <c r="B98" s="1" t="s">
        <v>10</v>
      </c>
      <c r="C98" s="1" t="s">
        <v>15</v>
      </c>
      <c r="D98" s="1" t="s">
        <v>19</v>
      </c>
      <c r="E98" s="3">
        <v>29</v>
      </c>
      <c r="F98" s="5">
        <v>3679</v>
      </c>
      <c r="G98" s="5">
        <f t="shared" ref="G98:G129" si="12">F98/E98</f>
        <v>126.86206896551724</v>
      </c>
      <c r="H98" s="5">
        <v>787.22483012831469</v>
      </c>
      <c r="I98" s="1" t="str">
        <f t="shared" ref="I98:I129" si="13">"Q"&amp;ROUND(INT(MONTH(A98)+2)/3,0)</f>
        <v>Q2</v>
      </c>
      <c r="J98" s="1">
        <f t="shared" ref="J98:J129" si="14">YEAR(A98)</f>
        <v>2024</v>
      </c>
      <c r="K98" s="8">
        <f t="shared" ref="K98:K129" si="15">IF(F98=0,0,H98/F98)</f>
        <v>0.21397793697426332</v>
      </c>
    </row>
    <row r="99" spans="1:11" x14ac:dyDescent="0.35">
      <c r="A99" s="4">
        <v>45389</v>
      </c>
      <c r="B99" s="1" t="s">
        <v>8</v>
      </c>
      <c r="C99" s="1" t="s">
        <v>11</v>
      </c>
      <c r="D99" s="1" t="s">
        <v>18</v>
      </c>
      <c r="E99" s="3">
        <v>43</v>
      </c>
      <c r="F99" s="5">
        <v>3131</v>
      </c>
      <c r="G99" s="5">
        <f t="shared" si="12"/>
        <v>72.813953488372093</v>
      </c>
      <c r="H99" s="5">
        <v>790.55162901082042</v>
      </c>
      <c r="I99" s="1" t="str">
        <f t="shared" si="13"/>
        <v>Q2</v>
      </c>
      <c r="J99" s="1">
        <f t="shared" si="14"/>
        <v>2024</v>
      </c>
      <c r="K99" s="8">
        <f t="shared" si="15"/>
        <v>0.25249173714813811</v>
      </c>
    </row>
    <row r="100" spans="1:11" x14ac:dyDescent="0.35">
      <c r="A100" s="4">
        <v>45390</v>
      </c>
      <c r="B100" s="1" t="s">
        <v>10</v>
      </c>
      <c r="C100" s="1" t="s">
        <v>14</v>
      </c>
      <c r="D100" s="1" t="s">
        <v>18</v>
      </c>
      <c r="E100" s="3">
        <v>11</v>
      </c>
      <c r="F100" s="5">
        <v>4264</v>
      </c>
      <c r="G100" s="5">
        <f t="shared" si="12"/>
        <v>387.63636363636363</v>
      </c>
      <c r="H100" s="5">
        <v>1174.10573503042</v>
      </c>
      <c r="I100" s="1" t="str">
        <f t="shared" si="13"/>
        <v>Q2</v>
      </c>
      <c r="J100" s="1">
        <f t="shared" si="14"/>
        <v>2024</v>
      </c>
      <c r="K100" s="8">
        <f t="shared" si="15"/>
        <v>0.2753531273523499</v>
      </c>
    </row>
    <row r="101" spans="1:11" x14ac:dyDescent="0.35">
      <c r="A101" s="4">
        <v>45391</v>
      </c>
      <c r="B101" s="1" t="s">
        <v>9</v>
      </c>
      <c r="C101" s="1" t="s">
        <v>12</v>
      </c>
      <c r="D101" s="1" t="s">
        <v>17</v>
      </c>
      <c r="E101" s="3">
        <v>18</v>
      </c>
      <c r="F101" s="5">
        <v>2693</v>
      </c>
      <c r="G101" s="5">
        <f t="shared" si="12"/>
        <v>149.61111111111111</v>
      </c>
      <c r="H101" s="5">
        <v>453.54522985838781</v>
      </c>
      <c r="I101" s="1" t="str">
        <f t="shared" si="13"/>
        <v>Q2</v>
      </c>
      <c r="J101" s="1">
        <f t="shared" si="14"/>
        <v>2024</v>
      </c>
      <c r="K101" s="8">
        <f t="shared" si="15"/>
        <v>0.16841634974318151</v>
      </c>
    </row>
    <row r="102" spans="1:11" x14ac:dyDescent="0.35">
      <c r="A102" s="4">
        <v>45392</v>
      </c>
      <c r="B102" s="1" t="s">
        <v>7</v>
      </c>
      <c r="C102" s="1" t="s">
        <v>11</v>
      </c>
      <c r="D102" s="1" t="s">
        <v>16</v>
      </c>
      <c r="E102" s="3">
        <v>47</v>
      </c>
      <c r="F102" s="5">
        <v>4400</v>
      </c>
      <c r="G102" s="5">
        <f t="shared" si="12"/>
        <v>93.61702127659575</v>
      </c>
      <c r="H102" s="5">
        <v>1162.706428111371</v>
      </c>
      <c r="I102" s="1" t="str">
        <f t="shared" si="13"/>
        <v>Q2</v>
      </c>
      <c r="J102" s="1">
        <f t="shared" si="14"/>
        <v>2024</v>
      </c>
      <c r="K102" s="8">
        <f t="shared" si="15"/>
        <v>0.26425146093440249</v>
      </c>
    </row>
    <row r="103" spans="1:11" x14ac:dyDescent="0.35">
      <c r="A103" s="4">
        <v>45393</v>
      </c>
      <c r="B103" s="1" t="s">
        <v>10</v>
      </c>
      <c r="C103" s="1" t="s">
        <v>11</v>
      </c>
      <c r="D103" s="1" t="s">
        <v>17</v>
      </c>
      <c r="E103" s="3">
        <v>12</v>
      </c>
      <c r="F103" s="5">
        <v>3918</v>
      </c>
      <c r="G103" s="5">
        <f t="shared" si="12"/>
        <v>326.5</v>
      </c>
      <c r="H103" s="5">
        <v>478.49102907810038</v>
      </c>
      <c r="I103" s="1" t="str">
        <f t="shared" si="13"/>
        <v>Q2</v>
      </c>
      <c r="J103" s="1">
        <f t="shared" si="14"/>
        <v>2024</v>
      </c>
      <c r="K103" s="8">
        <f t="shared" si="15"/>
        <v>0.12212634739104145</v>
      </c>
    </row>
    <row r="104" spans="1:11" x14ac:dyDescent="0.35">
      <c r="A104" s="4">
        <v>45394</v>
      </c>
      <c r="B104" s="1" t="s">
        <v>10</v>
      </c>
      <c r="C104" s="1" t="s">
        <v>15</v>
      </c>
      <c r="D104" s="1" t="s">
        <v>17</v>
      </c>
      <c r="E104" s="3">
        <v>9</v>
      </c>
      <c r="F104" s="5">
        <v>4238</v>
      </c>
      <c r="G104" s="5">
        <f t="shared" si="12"/>
        <v>470.88888888888891</v>
      </c>
      <c r="H104" s="5">
        <v>1141.252962474178</v>
      </c>
      <c r="I104" s="1" t="str">
        <f t="shared" si="13"/>
        <v>Q2</v>
      </c>
      <c r="J104" s="1">
        <f t="shared" si="14"/>
        <v>2024</v>
      </c>
      <c r="K104" s="8">
        <f t="shared" si="15"/>
        <v>0.26929045834690374</v>
      </c>
    </row>
    <row r="105" spans="1:11" x14ac:dyDescent="0.35">
      <c r="A105" s="4">
        <v>45395</v>
      </c>
      <c r="B105" s="1" t="s">
        <v>8</v>
      </c>
      <c r="C105" s="1" t="s">
        <v>15</v>
      </c>
      <c r="D105" s="1" t="s">
        <v>19</v>
      </c>
      <c r="E105" s="3">
        <v>10</v>
      </c>
      <c r="F105" s="5">
        <v>3923</v>
      </c>
      <c r="G105" s="5">
        <f t="shared" si="12"/>
        <v>392.3</v>
      </c>
      <c r="H105" s="5">
        <v>492.3276044656734</v>
      </c>
      <c r="I105" s="1" t="str">
        <f t="shared" si="13"/>
        <v>Q2</v>
      </c>
      <c r="J105" s="1">
        <f t="shared" si="14"/>
        <v>2024</v>
      </c>
      <c r="K105" s="8">
        <f t="shared" si="15"/>
        <v>0.12549773246639648</v>
      </c>
    </row>
    <row r="106" spans="1:11" x14ac:dyDescent="0.35">
      <c r="A106" s="4">
        <v>45396</v>
      </c>
      <c r="B106" s="1" t="s">
        <v>10</v>
      </c>
      <c r="C106" s="1" t="s">
        <v>14</v>
      </c>
      <c r="D106" s="1" t="s">
        <v>19</v>
      </c>
      <c r="E106" s="3">
        <v>44</v>
      </c>
      <c r="F106" s="5">
        <v>4142</v>
      </c>
      <c r="G106" s="5">
        <f t="shared" si="12"/>
        <v>94.13636363636364</v>
      </c>
      <c r="H106" s="5">
        <v>743.31279150020828</v>
      </c>
      <c r="I106" s="1" t="str">
        <f t="shared" si="13"/>
        <v>Q2</v>
      </c>
      <c r="J106" s="1">
        <f t="shared" si="14"/>
        <v>2024</v>
      </c>
      <c r="K106" s="8">
        <f t="shared" si="15"/>
        <v>0.17945745811207345</v>
      </c>
    </row>
    <row r="107" spans="1:11" x14ac:dyDescent="0.35">
      <c r="A107" s="4">
        <v>45397</v>
      </c>
      <c r="B107" s="1" t="s">
        <v>10</v>
      </c>
      <c r="C107" s="1" t="s">
        <v>12</v>
      </c>
      <c r="D107" s="1" t="s">
        <v>17</v>
      </c>
      <c r="E107" s="3">
        <v>17</v>
      </c>
      <c r="F107" s="5">
        <v>2006</v>
      </c>
      <c r="G107" s="5">
        <f t="shared" si="12"/>
        <v>118</v>
      </c>
      <c r="H107" s="5">
        <v>520.47490075075689</v>
      </c>
      <c r="I107" s="1" t="str">
        <f t="shared" si="13"/>
        <v>Q2</v>
      </c>
      <c r="J107" s="1">
        <f t="shared" si="14"/>
        <v>2024</v>
      </c>
      <c r="K107" s="8">
        <f t="shared" si="15"/>
        <v>0.25945907315591071</v>
      </c>
    </row>
    <row r="108" spans="1:11" x14ac:dyDescent="0.35">
      <c r="A108" s="4">
        <v>45398</v>
      </c>
      <c r="B108" s="1" t="s">
        <v>10</v>
      </c>
      <c r="C108" s="1" t="s">
        <v>15</v>
      </c>
      <c r="D108" s="1" t="s">
        <v>18</v>
      </c>
      <c r="E108" s="3">
        <v>38</v>
      </c>
      <c r="F108" s="5">
        <v>860</v>
      </c>
      <c r="G108" s="5">
        <f t="shared" si="12"/>
        <v>22.631578947368421</v>
      </c>
      <c r="H108" s="5">
        <v>111.7857975039891</v>
      </c>
      <c r="I108" s="1" t="str">
        <f t="shared" si="13"/>
        <v>Q2</v>
      </c>
      <c r="J108" s="1">
        <f t="shared" si="14"/>
        <v>2024</v>
      </c>
      <c r="K108" s="8">
        <f t="shared" si="15"/>
        <v>0.12998348546975477</v>
      </c>
    </row>
    <row r="109" spans="1:11" x14ac:dyDescent="0.35">
      <c r="A109" s="4">
        <v>45399</v>
      </c>
      <c r="B109" s="1" t="s">
        <v>8</v>
      </c>
      <c r="C109" s="1" t="s">
        <v>11</v>
      </c>
      <c r="D109" s="1" t="s">
        <v>19</v>
      </c>
      <c r="E109" s="3">
        <v>7</v>
      </c>
      <c r="F109" s="5">
        <v>3545</v>
      </c>
      <c r="G109" s="5">
        <f t="shared" si="12"/>
        <v>506.42857142857144</v>
      </c>
      <c r="H109" s="5">
        <v>517.03923921994283</v>
      </c>
      <c r="I109" s="1" t="str">
        <f t="shared" si="13"/>
        <v>Q2</v>
      </c>
      <c r="J109" s="1">
        <f t="shared" si="14"/>
        <v>2024</v>
      </c>
      <c r="K109" s="8">
        <f t="shared" si="15"/>
        <v>0.14585027904652831</v>
      </c>
    </row>
    <row r="110" spans="1:11" x14ac:dyDescent="0.35">
      <c r="A110" s="4">
        <v>45400</v>
      </c>
      <c r="B110" s="1" t="s">
        <v>10</v>
      </c>
      <c r="C110" s="1" t="s">
        <v>12</v>
      </c>
      <c r="D110" s="1" t="s">
        <v>16</v>
      </c>
      <c r="E110" s="3">
        <v>46</v>
      </c>
      <c r="F110" s="5">
        <v>999</v>
      </c>
      <c r="G110" s="5">
        <f t="shared" si="12"/>
        <v>21.717391304347824</v>
      </c>
      <c r="H110" s="5">
        <v>244.20606316493459</v>
      </c>
      <c r="I110" s="1" t="str">
        <f t="shared" si="13"/>
        <v>Q2</v>
      </c>
      <c r="J110" s="1">
        <f t="shared" si="14"/>
        <v>2024</v>
      </c>
      <c r="K110" s="8">
        <f t="shared" si="15"/>
        <v>0.2444505136786132</v>
      </c>
    </row>
    <row r="111" spans="1:11" x14ac:dyDescent="0.35">
      <c r="A111" s="4">
        <v>45401</v>
      </c>
      <c r="B111" s="1" t="s">
        <v>7</v>
      </c>
      <c r="C111" s="1" t="s">
        <v>12</v>
      </c>
      <c r="D111" s="1" t="s">
        <v>19</v>
      </c>
      <c r="E111" s="3">
        <v>13</v>
      </c>
      <c r="F111" s="5">
        <v>4555</v>
      </c>
      <c r="G111" s="5">
        <f t="shared" si="12"/>
        <v>350.38461538461536</v>
      </c>
      <c r="H111" s="5">
        <v>1111.453284793474</v>
      </c>
      <c r="I111" s="1" t="str">
        <f t="shared" si="13"/>
        <v>Q2</v>
      </c>
      <c r="J111" s="1">
        <f t="shared" si="14"/>
        <v>2024</v>
      </c>
      <c r="K111" s="8">
        <f t="shared" si="15"/>
        <v>0.24400730730921494</v>
      </c>
    </row>
    <row r="112" spans="1:11" x14ac:dyDescent="0.35">
      <c r="A112" s="4">
        <v>45402</v>
      </c>
      <c r="B112" s="1" t="s">
        <v>8</v>
      </c>
      <c r="C112" s="1" t="s">
        <v>11</v>
      </c>
      <c r="D112" s="1" t="s">
        <v>19</v>
      </c>
      <c r="E112" s="3">
        <v>40</v>
      </c>
      <c r="F112" s="5">
        <v>3047</v>
      </c>
      <c r="G112" s="5">
        <f t="shared" si="12"/>
        <v>76.174999999999997</v>
      </c>
      <c r="H112" s="5">
        <v>695.41536748030012</v>
      </c>
      <c r="I112" s="1" t="str">
        <f t="shared" si="13"/>
        <v>Q2</v>
      </c>
      <c r="J112" s="1">
        <f t="shared" si="14"/>
        <v>2024</v>
      </c>
      <c r="K112" s="8">
        <f t="shared" si="15"/>
        <v>0.22822952657705944</v>
      </c>
    </row>
    <row r="113" spans="1:11" x14ac:dyDescent="0.35">
      <c r="A113" s="4">
        <v>45403</v>
      </c>
      <c r="B113" s="1" t="s">
        <v>7</v>
      </c>
      <c r="C113" s="1" t="s">
        <v>15</v>
      </c>
      <c r="D113" s="1" t="s">
        <v>16</v>
      </c>
      <c r="E113" s="3">
        <v>42</v>
      </c>
      <c r="F113" s="5">
        <v>1819</v>
      </c>
      <c r="G113" s="5">
        <f t="shared" si="12"/>
        <v>43.30952380952381</v>
      </c>
      <c r="H113" s="5">
        <v>434.35844409713098</v>
      </c>
      <c r="I113" s="1" t="str">
        <f t="shared" si="13"/>
        <v>Q2</v>
      </c>
      <c r="J113" s="1">
        <f t="shared" si="14"/>
        <v>2024</v>
      </c>
      <c r="K113" s="8">
        <f t="shared" si="15"/>
        <v>0.23878968889342</v>
      </c>
    </row>
    <row r="114" spans="1:11" x14ac:dyDescent="0.35">
      <c r="A114" s="4">
        <v>45404</v>
      </c>
      <c r="B114" s="1" t="s">
        <v>8</v>
      </c>
      <c r="C114" s="1" t="s">
        <v>11</v>
      </c>
      <c r="D114" s="1" t="s">
        <v>17</v>
      </c>
      <c r="E114" s="3">
        <v>9</v>
      </c>
      <c r="F114" s="5">
        <v>380</v>
      </c>
      <c r="G114" s="5">
        <f t="shared" si="12"/>
        <v>42.222222222222221</v>
      </c>
      <c r="H114" s="5">
        <v>79.247057694417308</v>
      </c>
      <c r="I114" s="1" t="str">
        <f t="shared" si="13"/>
        <v>Q2</v>
      </c>
      <c r="J114" s="1">
        <f t="shared" si="14"/>
        <v>2024</v>
      </c>
      <c r="K114" s="8">
        <f t="shared" si="15"/>
        <v>0.20854488866951923</v>
      </c>
    </row>
    <row r="115" spans="1:11" x14ac:dyDescent="0.35">
      <c r="A115" s="4">
        <v>45405</v>
      </c>
      <c r="B115" s="1" t="s">
        <v>10</v>
      </c>
      <c r="C115" s="1" t="s">
        <v>12</v>
      </c>
      <c r="D115" s="1" t="s">
        <v>16</v>
      </c>
      <c r="E115" s="3">
        <v>27</v>
      </c>
      <c r="F115" s="5">
        <v>3366</v>
      </c>
      <c r="G115" s="5">
        <f t="shared" si="12"/>
        <v>124.66666666666667</v>
      </c>
      <c r="H115" s="5">
        <v>506.11112645616049</v>
      </c>
      <c r="I115" s="1" t="str">
        <f t="shared" si="13"/>
        <v>Q2</v>
      </c>
      <c r="J115" s="1">
        <f t="shared" si="14"/>
        <v>2024</v>
      </c>
      <c r="K115" s="8">
        <f t="shared" si="15"/>
        <v>0.15035981178139052</v>
      </c>
    </row>
    <row r="116" spans="1:11" x14ac:dyDescent="0.35">
      <c r="A116" s="4">
        <v>45406</v>
      </c>
      <c r="B116" s="1" t="s">
        <v>7</v>
      </c>
      <c r="C116" s="1" t="s">
        <v>13</v>
      </c>
      <c r="D116" s="1" t="s">
        <v>17</v>
      </c>
      <c r="E116" s="3">
        <v>2</v>
      </c>
      <c r="F116" s="5">
        <v>1987</v>
      </c>
      <c r="G116" s="5">
        <f t="shared" si="12"/>
        <v>993.5</v>
      </c>
      <c r="H116" s="5">
        <v>336.07958781845758</v>
      </c>
      <c r="I116" s="1" t="str">
        <f t="shared" si="13"/>
        <v>Q2</v>
      </c>
      <c r="J116" s="1">
        <f t="shared" si="14"/>
        <v>2024</v>
      </c>
      <c r="K116" s="8">
        <f t="shared" si="15"/>
        <v>0.16913919870078389</v>
      </c>
    </row>
    <row r="117" spans="1:11" x14ac:dyDescent="0.35">
      <c r="A117" s="4">
        <v>45407</v>
      </c>
      <c r="B117" s="1" t="s">
        <v>8</v>
      </c>
      <c r="C117" s="1" t="s">
        <v>13</v>
      </c>
      <c r="D117" s="1" t="s">
        <v>17</v>
      </c>
      <c r="E117" s="3">
        <v>5</v>
      </c>
      <c r="F117" s="5">
        <v>3366</v>
      </c>
      <c r="G117" s="5">
        <f t="shared" si="12"/>
        <v>673.2</v>
      </c>
      <c r="H117" s="5">
        <v>458.85158295071972</v>
      </c>
      <c r="I117" s="1" t="str">
        <f t="shared" si="13"/>
        <v>Q2</v>
      </c>
      <c r="J117" s="1">
        <f t="shared" si="14"/>
        <v>2024</v>
      </c>
      <c r="K117" s="8">
        <f t="shared" si="15"/>
        <v>0.13631954336028512</v>
      </c>
    </row>
    <row r="118" spans="1:11" x14ac:dyDescent="0.35">
      <c r="A118" s="4">
        <v>45408</v>
      </c>
      <c r="B118" s="1" t="s">
        <v>9</v>
      </c>
      <c r="C118" s="1" t="s">
        <v>14</v>
      </c>
      <c r="D118" s="1" t="s">
        <v>17</v>
      </c>
      <c r="E118" s="3">
        <v>29</v>
      </c>
      <c r="F118" s="5">
        <v>766</v>
      </c>
      <c r="G118" s="5">
        <f t="shared" si="12"/>
        <v>26.413793103448278</v>
      </c>
      <c r="H118" s="5">
        <v>215.7746259963119</v>
      </c>
      <c r="I118" s="1" t="str">
        <f t="shared" si="13"/>
        <v>Q2</v>
      </c>
      <c r="J118" s="1">
        <f t="shared" si="14"/>
        <v>2024</v>
      </c>
      <c r="K118" s="8">
        <f t="shared" si="15"/>
        <v>0.28169011226672569</v>
      </c>
    </row>
    <row r="119" spans="1:11" x14ac:dyDescent="0.35">
      <c r="A119" s="4">
        <v>45409</v>
      </c>
      <c r="B119" s="1" t="s">
        <v>10</v>
      </c>
      <c r="C119" s="1" t="s">
        <v>11</v>
      </c>
      <c r="D119" s="1" t="s">
        <v>16</v>
      </c>
      <c r="E119" s="3">
        <v>37</v>
      </c>
      <c r="F119" s="5">
        <v>4288</v>
      </c>
      <c r="G119" s="5">
        <f t="shared" si="12"/>
        <v>115.89189189189189</v>
      </c>
      <c r="H119" s="5">
        <v>929.11680319142476</v>
      </c>
      <c r="I119" s="1" t="str">
        <f t="shared" si="13"/>
        <v>Q2</v>
      </c>
      <c r="J119" s="1">
        <f t="shared" si="14"/>
        <v>2024</v>
      </c>
      <c r="K119" s="8">
        <f t="shared" si="15"/>
        <v>0.21667835895322407</v>
      </c>
    </row>
    <row r="120" spans="1:11" x14ac:dyDescent="0.35">
      <c r="A120" s="4">
        <v>45410</v>
      </c>
      <c r="B120" s="1" t="s">
        <v>8</v>
      </c>
      <c r="C120" s="1" t="s">
        <v>11</v>
      </c>
      <c r="D120" s="1" t="s">
        <v>17</v>
      </c>
      <c r="E120" s="3">
        <v>38</v>
      </c>
      <c r="F120" s="5">
        <v>771</v>
      </c>
      <c r="G120" s="5">
        <f t="shared" si="12"/>
        <v>20.289473684210527</v>
      </c>
      <c r="H120" s="5">
        <v>138.91128846495329</v>
      </c>
      <c r="I120" s="1" t="str">
        <f t="shared" si="13"/>
        <v>Q2</v>
      </c>
      <c r="J120" s="1">
        <f t="shared" si="14"/>
        <v>2024</v>
      </c>
      <c r="K120" s="8">
        <f t="shared" si="15"/>
        <v>0.180170283352728</v>
      </c>
    </row>
    <row r="121" spans="1:11" x14ac:dyDescent="0.35">
      <c r="A121" s="4">
        <v>45411</v>
      </c>
      <c r="B121" s="1" t="s">
        <v>9</v>
      </c>
      <c r="C121" s="1" t="s">
        <v>14</v>
      </c>
      <c r="D121" s="1" t="s">
        <v>18</v>
      </c>
      <c r="E121" s="3">
        <v>19</v>
      </c>
      <c r="F121" s="5">
        <v>2069</v>
      </c>
      <c r="G121" s="5">
        <f t="shared" si="12"/>
        <v>108.89473684210526</v>
      </c>
      <c r="H121" s="5">
        <v>398.07800154794211</v>
      </c>
      <c r="I121" s="1" t="str">
        <f t="shared" si="13"/>
        <v>Q2</v>
      </c>
      <c r="J121" s="1">
        <f t="shared" si="14"/>
        <v>2024</v>
      </c>
      <c r="K121" s="8">
        <f t="shared" si="15"/>
        <v>0.19240116072882654</v>
      </c>
    </row>
    <row r="122" spans="1:11" x14ac:dyDescent="0.35">
      <c r="A122" s="4">
        <v>45412</v>
      </c>
      <c r="B122" s="1" t="s">
        <v>8</v>
      </c>
      <c r="C122" s="1" t="s">
        <v>14</v>
      </c>
      <c r="D122" s="1" t="s">
        <v>16</v>
      </c>
      <c r="E122" s="3">
        <v>8</v>
      </c>
      <c r="F122" s="5">
        <v>4256</v>
      </c>
      <c r="G122" s="5">
        <f t="shared" si="12"/>
        <v>532</v>
      </c>
      <c r="H122" s="5">
        <v>1231.927578677577</v>
      </c>
      <c r="I122" s="1" t="str">
        <f t="shared" si="13"/>
        <v>Q2</v>
      </c>
      <c r="J122" s="1">
        <f t="shared" si="14"/>
        <v>2024</v>
      </c>
      <c r="K122" s="8">
        <f t="shared" si="15"/>
        <v>0.28945666792236302</v>
      </c>
    </row>
    <row r="123" spans="1:11" x14ac:dyDescent="0.35">
      <c r="A123" s="4">
        <v>45413</v>
      </c>
      <c r="B123" s="1" t="s">
        <v>9</v>
      </c>
      <c r="C123" s="1" t="s">
        <v>14</v>
      </c>
      <c r="D123" s="1" t="s">
        <v>18</v>
      </c>
      <c r="E123" s="3">
        <v>48</v>
      </c>
      <c r="F123" s="5">
        <v>3222</v>
      </c>
      <c r="G123" s="5">
        <f t="shared" si="12"/>
        <v>67.125</v>
      </c>
      <c r="H123" s="5">
        <v>421.01964416800212</v>
      </c>
      <c r="I123" s="1" t="str">
        <f t="shared" si="13"/>
        <v>Q2</v>
      </c>
      <c r="J123" s="1">
        <f t="shared" si="14"/>
        <v>2024</v>
      </c>
      <c r="K123" s="8">
        <f t="shared" si="15"/>
        <v>0.13067028062321606</v>
      </c>
    </row>
    <row r="124" spans="1:11" x14ac:dyDescent="0.35">
      <c r="A124" s="4">
        <v>45414</v>
      </c>
      <c r="B124" s="1" t="s">
        <v>10</v>
      </c>
      <c r="C124" s="1" t="s">
        <v>12</v>
      </c>
      <c r="D124" s="1" t="s">
        <v>17</v>
      </c>
      <c r="E124" s="3">
        <v>45</v>
      </c>
      <c r="F124" s="5">
        <v>4799</v>
      </c>
      <c r="G124" s="5">
        <f t="shared" si="12"/>
        <v>106.64444444444445</v>
      </c>
      <c r="H124" s="5">
        <v>1042.563392769722</v>
      </c>
      <c r="I124" s="1" t="str">
        <f t="shared" si="13"/>
        <v>Q2</v>
      </c>
      <c r="J124" s="1">
        <f t="shared" si="14"/>
        <v>2024</v>
      </c>
      <c r="K124" s="8">
        <f t="shared" si="15"/>
        <v>0.21724596640335944</v>
      </c>
    </row>
    <row r="125" spans="1:11" x14ac:dyDescent="0.35">
      <c r="A125" s="4">
        <v>45415</v>
      </c>
      <c r="B125" s="1" t="s">
        <v>7</v>
      </c>
      <c r="C125" s="1" t="s">
        <v>11</v>
      </c>
      <c r="D125" s="1" t="s">
        <v>19</v>
      </c>
      <c r="E125" s="3">
        <v>1</v>
      </c>
      <c r="F125" s="5">
        <v>4877</v>
      </c>
      <c r="G125" s="5">
        <f t="shared" si="12"/>
        <v>4877</v>
      </c>
      <c r="H125" s="5">
        <v>981.14381738390807</v>
      </c>
      <c r="I125" s="1" t="str">
        <f t="shared" si="13"/>
        <v>Q2</v>
      </c>
      <c r="J125" s="1">
        <f t="shared" si="14"/>
        <v>2024</v>
      </c>
      <c r="K125" s="8">
        <f t="shared" si="15"/>
        <v>0.20117773577689319</v>
      </c>
    </row>
    <row r="126" spans="1:11" x14ac:dyDescent="0.35">
      <c r="A126" s="4">
        <v>45416</v>
      </c>
      <c r="B126" s="1" t="s">
        <v>9</v>
      </c>
      <c r="C126" s="1" t="s">
        <v>12</v>
      </c>
      <c r="D126" s="1" t="s">
        <v>17</v>
      </c>
      <c r="E126" s="3">
        <v>22</v>
      </c>
      <c r="F126" s="5">
        <v>4000</v>
      </c>
      <c r="G126" s="5">
        <f t="shared" si="12"/>
        <v>181.81818181818181</v>
      </c>
      <c r="H126" s="5">
        <v>889.1633883477183</v>
      </c>
      <c r="I126" s="1" t="str">
        <f t="shared" si="13"/>
        <v>Q2</v>
      </c>
      <c r="J126" s="1">
        <f t="shared" si="14"/>
        <v>2024</v>
      </c>
      <c r="K126" s="8">
        <f t="shared" si="15"/>
        <v>0.22229084708692956</v>
      </c>
    </row>
    <row r="127" spans="1:11" x14ac:dyDescent="0.35">
      <c r="A127" s="4">
        <v>45417</v>
      </c>
      <c r="B127" s="1" t="s">
        <v>8</v>
      </c>
      <c r="C127" s="1" t="s">
        <v>14</v>
      </c>
      <c r="D127" s="1" t="s">
        <v>18</v>
      </c>
      <c r="E127" s="3">
        <v>17</v>
      </c>
      <c r="F127" s="5">
        <v>623</v>
      </c>
      <c r="G127" s="5">
        <f t="shared" si="12"/>
        <v>36.647058823529413</v>
      </c>
      <c r="H127" s="5">
        <v>64.556528904076728</v>
      </c>
      <c r="I127" s="1" t="str">
        <f t="shared" si="13"/>
        <v>Q2</v>
      </c>
      <c r="J127" s="1">
        <f t="shared" si="14"/>
        <v>2024</v>
      </c>
      <c r="K127" s="8">
        <f t="shared" si="15"/>
        <v>0.1036220367641681</v>
      </c>
    </row>
    <row r="128" spans="1:11" x14ac:dyDescent="0.35">
      <c r="A128" s="4">
        <v>45418</v>
      </c>
      <c r="B128" s="1" t="s">
        <v>10</v>
      </c>
      <c r="C128" s="1" t="s">
        <v>11</v>
      </c>
      <c r="D128" s="1" t="s">
        <v>18</v>
      </c>
      <c r="E128" s="3">
        <v>7</v>
      </c>
      <c r="F128" s="5">
        <v>2493</v>
      </c>
      <c r="G128" s="5">
        <f t="shared" si="12"/>
        <v>356.14285714285717</v>
      </c>
      <c r="H128" s="5">
        <v>684.1409809995539</v>
      </c>
      <c r="I128" s="1" t="str">
        <f t="shared" si="13"/>
        <v>Q2</v>
      </c>
      <c r="J128" s="1">
        <f t="shared" si="14"/>
        <v>2024</v>
      </c>
      <c r="K128" s="8">
        <f t="shared" si="15"/>
        <v>0.27442478178883029</v>
      </c>
    </row>
    <row r="129" spans="1:11" x14ac:dyDescent="0.35">
      <c r="A129" s="4">
        <v>45419</v>
      </c>
      <c r="B129" s="1" t="s">
        <v>9</v>
      </c>
      <c r="C129" s="1" t="s">
        <v>12</v>
      </c>
      <c r="D129" s="1" t="s">
        <v>16</v>
      </c>
      <c r="E129" s="3">
        <v>25</v>
      </c>
      <c r="F129" s="5">
        <v>3217</v>
      </c>
      <c r="G129" s="5">
        <f t="shared" si="12"/>
        <v>128.68</v>
      </c>
      <c r="H129" s="5">
        <v>921.42490294995616</v>
      </c>
      <c r="I129" s="1" t="str">
        <f t="shared" si="13"/>
        <v>Q2</v>
      </c>
      <c r="J129" s="1">
        <f t="shared" si="14"/>
        <v>2024</v>
      </c>
      <c r="K129" s="8">
        <f t="shared" si="15"/>
        <v>0.28642365649672247</v>
      </c>
    </row>
    <row r="130" spans="1:11" x14ac:dyDescent="0.35">
      <c r="A130" s="4">
        <v>45420</v>
      </c>
      <c r="B130" s="1" t="s">
        <v>8</v>
      </c>
      <c r="C130" s="1" t="s">
        <v>12</v>
      </c>
      <c r="D130" s="1" t="s">
        <v>19</v>
      </c>
      <c r="E130" s="3">
        <v>45</v>
      </c>
      <c r="F130" s="5">
        <v>2693</v>
      </c>
      <c r="G130" s="5">
        <f t="shared" ref="G130:G161" si="16">F130/E130</f>
        <v>59.844444444444441</v>
      </c>
      <c r="H130" s="5">
        <v>573.6807326811479</v>
      </c>
      <c r="I130" s="1" t="str">
        <f t="shared" ref="I130:I161" si="17">"Q"&amp;ROUND(INT(MONTH(A130)+2)/3,0)</f>
        <v>Q2</v>
      </c>
      <c r="J130" s="1">
        <f t="shared" ref="J130:J161" si="18">YEAR(A130)</f>
        <v>2024</v>
      </c>
      <c r="K130" s="8">
        <f t="shared" ref="K130:K161" si="19">IF(F130=0,0,H130/F130)</f>
        <v>0.21302663671784178</v>
      </c>
    </row>
    <row r="131" spans="1:11" x14ac:dyDescent="0.35">
      <c r="A131" s="4">
        <v>45421</v>
      </c>
      <c r="B131" s="1" t="s">
        <v>8</v>
      </c>
      <c r="C131" s="1" t="s">
        <v>14</v>
      </c>
      <c r="D131" s="1" t="s">
        <v>16</v>
      </c>
      <c r="E131" s="3">
        <v>4</v>
      </c>
      <c r="F131" s="5">
        <v>2068</v>
      </c>
      <c r="G131" s="5">
        <f t="shared" si="16"/>
        <v>517</v>
      </c>
      <c r="H131" s="5">
        <v>494.93478075548262</v>
      </c>
      <c r="I131" s="1" t="str">
        <f t="shared" si="17"/>
        <v>Q2</v>
      </c>
      <c r="J131" s="1">
        <f t="shared" si="18"/>
        <v>2024</v>
      </c>
      <c r="K131" s="8">
        <f t="shared" si="19"/>
        <v>0.23933016477537844</v>
      </c>
    </row>
    <row r="132" spans="1:11" x14ac:dyDescent="0.35">
      <c r="A132" s="4">
        <v>45422</v>
      </c>
      <c r="B132" s="1" t="s">
        <v>8</v>
      </c>
      <c r="C132" s="1" t="s">
        <v>11</v>
      </c>
      <c r="D132" s="1" t="s">
        <v>18</v>
      </c>
      <c r="E132" s="3">
        <v>36</v>
      </c>
      <c r="F132" s="5">
        <v>1853</v>
      </c>
      <c r="G132" s="5">
        <f t="shared" si="16"/>
        <v>51.472222222222221</v>
      </c>
      <c r="H132" s="5">
        <v>527.17827066430573</v>
      </c>
      <c r="I132" s="1" t="str">
        <f t="shared" si="17"/>
        <v>Q2</v>
      </c>
      <c r="J132" s="1">
        <f t="shared" si="18"/>
        <v>2024</v>
      </c>
      <c r="K132" s="8">
        <f t="shared" si="19"/>
        <v>0.28449987623545908</v>
      </c>
    </row>
    <row r="133" spans="1:11" x14ac:dyDescent="0.35">
      <c r="A133" s="4">
        <v>45423</v>
      </c>
      <c r="B133" s="1" t="s">
        <v>9</v>
      </c>
      <c r="C133" s="1" t="s">
        <v>14</v>
      </c>
      <c r="D133" s="1" t="s">
        <v>17</v>
      </c>
      <c r="E133" s="3">
        <v>6</v>
      </c>
      <c r="F133" s="5">
        <v>2396</v>
      </c>
      <c r="G133" s="5">
        <f t="shared" si="16"/>
        <v>399.33333333333331</v>
      </c>
      <c r="H133" s="5">
        <v>578.50875356298059</v>
      </c>
      <c r="I133" s="1" t="str">
        <f t="shared" si="17"/>
        <v>Q2</v>
      </c>
      <c r="J133" s="1">
        <f t="shared" si="18"/>
        <v>2024</v>
      </c>
      <c r="K133" s="8">
        <f t="shared" si="19"/>
        <v>0.24144772686267971</v>
      </c>
    </row>
    <row r="134" spans="1:11" x14ac:dyDescent="0.35">
      <c r="A134" s="4">
        <v>45424</v>
      </c>
      <c r="B134" s="1" t="s">
        <v>9</v>
      </c>
      <c r="C134" s="1" t="s">
        <v>11</v>
      </c>
      <c r="D134" s="1" t="s">
        <v>19</v>
      </c>
      <c r="E134" s="3">
        <v>31</v>
      </c>
      <c r="F134" s="5">
        <v>2361</v>
      </c>
      <c r="G134" s="5">
        <f t="shared" si="16"/>
        <v>76.161290322580641</v>
      </c>
      <c r="H134" s="5">
        <v>308.12893606411421</v>
      </c>
      <c r="I134" s="1" t="str">
        <f t="shared" si="17"/>
        <v>Q2</v>
      </c>
      <c r="J134" s="1">
        <f t="shared" si="18"/>
        <v>2024</v>
      </c>
      <c r="K134" s="8">
        <f t="shared" si="19"/>
        <v>0.13050780858285227</v>
      </c>
    </row>
    <row r="135" spans="1:11" x14ac:dyDescent="0.35">
      <c r="A135" s="4">
        <v>45425</v>
      </c>
      <c r="B135" s="1" t="s">
        <v>9</v>
      </c>
      <c r="C135" s="1" t="s">
        <v>13</v>
      </c>
      <c r="D135" s="1" t="s">
        <v>17</v>
      </c>
      <c r="E135" s="3">
        <v>19</v>
      </c>
      <c r="F135" s="5">
        <v>2386</v>
      </c>
      <c r="G135" s="5">
        <f t="shared" si="16"/>
        <v>125.57894736842105</v>
      </c>
      <c r="H135" s="5">
        <v>513.60480547160319</v>
      </c>
      <c r="I135" s="1" t="str">
        <f t="shared" si="17"/>
        <v>Q2</v>
      </c>
      <c r="J135" s="1">
        <f t="shared" si="18"/>
        <v>2024</v>
      </c>
      <c r="K135" s="8">
        <f t="shared" si="19"/>
        <v>0.2152576720333626</v>
      </c>
    </row>
    <row r="136" spans="1:11" x14ac:dyDescent="0.35">
      <c r="A136" s="4">
        <v>45426</v>
      </c>
      <c r="B136" s="1" t="s">
        <v>7</v>
      </c>
      <c r="C136" s="1" t="s">
        <v>15</v>
      </c>
      <c r="D136" s="1" t="s">
        <v>17</v>
      </c>
      <c r="E136" s="3">
        <v>44</v>
      </c>
      <c r="F136" s="5">
        <v>4302</v>
      </c>
      <c r="G136" s="5">
        <f t="shared" si="16"/>
        <v>97.772727272727266</v>
      </c>
      <c r="H136" s="5">
        <v>952.21762590780929</v>
      </c>
      <c r="I136" s="1" t="str">
        <f t="shared" si="17"/>
        <v>Q2</v>
      </c>
      <c r="J136" s="1">
        <f t="shared" si="18"/>
        <v>2024</v>
      </c>
      <c r="K136" s="8">
        <f t="shared" si="19"/>
        <v>0.22134300927657119</v>
      </c>
    </row>
    <row r="137" spans="1:11" x14ac:dyDescent="0.35">
      <c r="A137" s="4">
        <v>45427</v>
      </c>
      <c r="B137" s="1" t="s">
        <v>9</v>
      </c>
      <c r="C137" s="1" t="s">
        <v>15</v>
      </c>
      <c r="D137" s="1" t="s">
        <v>19</v>
      </c>
      <c r="E137" s="3">
        <v>39</v>
      </c>
      <c r="F137" s="5">
        <v>2978</v>
      </c>
      <c r="G137" s="5">
        <f t="shared" si="16"/>
        <v>76.358974358974365</v>
      </c>
      <c r="H137" s="5">
        <v>550.41222782770114</v>
      </c>
      <c r="I137" s="1" t="str">
        <f t="shared" si="17"/>
        <v>Q2</v>
      </c>
      <c r="J137" s="1">
        <f t="shared" si="18"/>
        <v>2024</v>
      </c>
      <c r="K137" s="8">
        <f t="shared" si="19"/>
        <v>0.18482613426047723</v>
      </c>
    </row>
    <row r="138" spans="1:11" x14ac:dyDescent="0.35">
      <c r="A138" s="4">
        <v>45428</v>
      </c>
      <c r="B138" s="1" t="s">
        <v>9</v>
      </c>
      <c r="C138" s="1" t="s">
        <v>15</v>
      </c>
      <c r="D138" s="1" t="s">
        <v>16</v>
      </c>
      <c r="E138" s="3">
        <v>27</v>
      </c>
      <c r="F138" s="5">
        <v>4243</v>
      </c>
      <c r="G138" s="5">
        <f t="shared" si="16"/>
        <v>157.14814814814815</v>
      </c>
      <c r="H138" s="5">
        <v>1049.24657835114</v>
      </c>
      <c r="I138" s="1" t="str">
        <f t="shared" si="17"/>
        <v>Q2</v>
      </c>
      <c r="J138" s="1">
        <f t="shared" si="18"/>
        <v>2024</v>
      </c>
      <c r="K138" s="8">
        <f t="shared" si="19"/>
        <v>0.24728884712494462</v>
      </c>
    </row>
    <row r="139" spans="1:11" x14ac:dyDescent="0.35">
      <c r="A139" s="4">
        <v>45429</v>
      </c>
      <c r="B139" s="1" t="s">
        <v>9</v>
      </c>
      <c r="C139" s="1" t="s">
        <v>14</v>
      </c>
      <c r="D139" s="1" t="s">
        <v>17</v>
      </c>
      <c r="E139" s="3">
        <v>10</v>
      </c>
      <c r="F139" s="5">
        <v>3744</v>
      </c>
      <c r="G139" s="5">
        <f t="shared" si="16"/>
        <v>374.4</v>
      </c>
      <c r="H139" s="5">
        <v>1074.0540206590381</v>
      </c>
      <c r="I139" s="1" t="str">
        <f t="shared" si="17"/>
        <v>Q2</v>
      </c>
      <c r="J139" s="1">
        <f t="shared" si="18"/>
        <v>2024</v>
      </c>
      <c r="K139" s="8">
        <f t="shared" si="19"/>
        <v>0.28687340295380293</v>
      </c>
    </row>
    <row r="140" spans="1:11" x14ac:dyDescent="0.35">
      <c r="A140" s="4">
        <v>45430</v>
      </c>
      <c r="B140" s="1" t="s">
        <v>7</v>
      </c>
      <c r="C140" s="1" t="s">
        <v>13</v>
      </c>
      <c r="D140" s="1" t="s">
        <v>18</v>
      </c>
      <c r="E140" s="3">
        <v>26</v>
      </c>
      <c r="F140" s="5">
        <v>4532</v>
      </c>
      <c r="G140" s="5">
        <f t="shared" si="16"/>
        <v>174.30769230769232</v>
      </c>
      <c r="H140" s="5">
        <v>1292.1353000987019</v>
      </c>
      <c r="I140" s="1" t="str">
        <f t="shared" si="17"/>
        <v>Q2</v>
      </c>
      <c r="J140" s="1">
        <f t="shared" si="18"/>
        <v>2024</v>
      </c>
      <c r="K140" s="8">
        <f t="shared" si="19"/>
        <v>0.28511370258135521</v>
      </c>
    </row>
    <row r="141" spans="1:11" x14ac:dyDescent="0.35">
      <c r="A141" s="4">
        <v>45431</v>
      </c>
      <c r="B141" s="1" t="s">
        <v>9</v>
      </c>
      <c r="C141" s="1" t="s">
        <v>11</v>
      </c>
      <c r="D141" s="1" t="s">
        <v>17</v>
      </c>
      <c r="E141" s="3">
        <v>19</v>
      </c>
      <c r="F141" s="5">
        <v>2155</v>
      </c>
      <c r="G141" s="5">
        <f t="shared" si="16"/>
        <v>113.42105263157895</v>
      </c>
      <c r="H141" s="5">
        <v>409.81176907518102</v>
      </c>
      <c r="I141" s="1" t="str">
        <f t="shared" si="17"/>
        <v>Q2</v>
      </c>
      <c r="J141" s="1">
        <f t="shared" si="18"/>
        <v>2024</v>
      </c>
      <c r="K141" s="8">
        <f t="shared" si="19"/>
        <v>0.19016787428082646</v>
      </c>
    </row>
    <row r="142" spans="1:11" x14ac:dyDescent="0.35">
      <c r="A142" s="4">
        <v>45432</v>
      </c>
      <c r="B142" s="1" t="s">
        <v>8</v>
      </c>
      <c r="C142" s="1" t="s">
        <v>12</v>
      </c>
      <c r="D142" s="1" t="s">
        <v>19</v>
      </c>
      <c r="E142" s="3">
        <v>39</v>
      </c>
      <c r="F142" s="5">
        <v>4820</v>
      </c>
      <c r="G142" s="5">
        <f t="shared" si="16"/>
        <v>123.58974358974359</v>
      </c>
      <c r="H142" s="5">
        <v>591.16147619048809</v>
      </c>
      <c r="I142" s="1" t="str">
        <f t="shared" si="17"/>
        <v>Q2</v>
      </c>
      <c r="J142" s="1">
        <f t="shared" si="18"/>
        <v>2024</v>
      </c>
      <c r="K142" s="8">
        <f t="shared" si="19"/>
        <v>0.12264760916815105</v>
      </c>
    </row>
    <row r="143" spans="1:11" x14ac:dyDescent="0.35">
      <c r="A143" s="4">
        <v>45433</v>
      </c>
      <c r="B143" s="1" t="s">
        <v>9</v>
      </c>
      <c r="C143" s="1" t="s">
        <v>11</v>
      </c>
      <c r="D143" s="1" t="s">
        <v>19</v>
      </c>
      <c r="E143" s="3">
        <v>3</v>
      </c>
      <c r="F143" s="5">
        <v>1376</v>
      </c>
      <c r="G143" s="5">
        <f t="shared" si="16"/>
        <v>458.66666666666669</v>
      </c>
      <c r="H143" s="5">
        <v>408.62829795443452</v>
      </c>
      <c r="I143" s="1" t="str">
        <f t="shared" si="17"/>
        <v>Q2</v>
      </c>
      <c r="J143" s="1">
        <f t="shared" si="18"/>
        <v>2024</v>
      </c>
      <c r="K143" s="8">
        <f t="shared" si="19"/>
        <v>0.29696823979246695</v>
      </c>
    </row>
    <row r="144" spans="1:11" x14ac:dyDescent="0.35">
      <c r="A144" s="4">
        <v>45434</v>
      </c>
      <c r="B144" s="1" t="s">
        <v>8</v>
      </c>
      <c r="C144" s="1" t="s">
        <v>12</v>
      </c>
      <c r="D144" s="1" t="s">
        <v>19</v>
      </c>
      <c r="E144" s="3">
        <v>45</v>
      </c>
      <c r="F144" s="5">
        <v>2866</v>
      </c>
      <c r="G144" s="5">
        <f t="shared" si="16"/>
        <v>63.68888888888889</v>
      </c>
      <c r="H144" s="5">
        <v>767.45638315080942</v>
      </c>
      <c r="I144" s="1" t="str">
        <f t="shared" si="17"/>
        <v>Q2</v>
      </c>
      <c r="J144" s="1">
        <f t="shared" si="18"/>
        <v>2024</v>
      </c>
      <c r="K144" s="8">
        <f t="shared" si="19"/>
        <v>0.26777961728918681</v>
      </c>
    </row>
    <row r="145" spans="1:11" x14ac:dyDescent="0.35">
      <c r="A145" s="4">
        <v>45435</v>
      </c>
      <c r="B145" s="1" t="s">
        <v>8</v>
      </c>
      <c r="C145" s="1" t="s">
        <v>11</v>
      </c>
      <c r="D145" s="1" t="s">
        <v>16</v>
      </c>
      <c r="E145" s="3">
        <v>13</v>
      </c>
      <c r="F145" s="5">
        <v>402</v>
      </c>
      <c r="G145" s="5">
        <f t="shared" si="16"/>
        <v>30.923076923076923</v>
      </c>
      <c r="H145" s="5">
        <v>50.222879568742663</v>
      </c>
      <c r="I145" s="1" t="str">
        <f t="shared" si="17"/>
        <v>Q2</v>
      </c>
      <c r="J145" s="1">
        <f t="shared" si="18"/>
        <v>2024</v>
      </c>
      <c r="K145" s="8">
        <f t="shared" si="19"/>
        <v>0.12493253624065338</v>
      </c>
    </row>
    <row r="146" spans="1:11" x14ac:dyDescent="0.35">
      <c r="A146" s="4">
        <v>45436</v>
      </c>
      <c r="B146" s="1" t="s">
        <v>8</v>
      </c>
      <c r="C146" s="1" t="s">
        <v>13</v>
      </c>
      <c r="D146" s="1" t="s">
        <v>17</v>
      </c>
      <c r="E146" s="3">
        <v>28</v>
      </c>
      <c r="F146" s="5">
        <v>738</v>
      </c>
      <c r="G146" s="5">
        <f t="shared" si="16"/>
        <v>26.357142857142858</v>
      </c>
      <c r="H146" s="5">
        <v>209.7162618743242</v>
      </c>
      <c r="I146" s="1" t="str">
        <f t="shared" si="17"/>
        <v>Q2</v>
      </c>
      <c r="J146" s="1">
        <f t="shared" si="18"/>
        <v>2024</v>
      </c>
      <c r="K146" s="8">
        <f t="shared" si="19"/>
        <v>0.28416837652347454</v>
      </c>
    </row>
    <row r="147" spans="1:11" x14ac:dyDescent="0.35">
      <c r="A147" s="4">
        <v>45437</v>
      </c>
      <c r="B147" s="1" t="s">
        <v>7</v>
      </c>
      <c r="C147" s="1" t="s">
        <v>12</v>
      </c>
      <c r="D147" s="1" t="s">
        <v>16</v>
      </c>
      <c r="E147" s="3">
        <v>20</v>
      </c>
      <c r="F147" s="5">
        <v>155</v>
      </c>
      <c r="G147" s="5">
        <f t="shared" si="16"/>
        <v>7.75</v>
      </c>
      <c r="H147" s="5">
        <v>42.466787223925976</v>
      </c>
      <c r="I147" s="1" t="str">
        <f t="shared" si="17"/>
        <v>Q2</v>
      </c>
      <c r="J147" s="1">
        <f t="shared" si="18"/>
        <v>2024</v>
      </c>
      <c r="K147" s="8">
        <f t="shared" si="19"/>
        <v>0.27397927241242565</v>
      </c>
    </row>
    <row r="148" spans="1:11" x14ac:dyDescent="0.35">
      <c r="A148" s="4">
        <v>45438</v>
      </c>
      <c r="B148" s="1" t="s">
        <v>7</v>
      </c>
      <c r="C148" s="1" t="s">
        <v>14</v>
      </c>
      <c r="D148" s="1" t="s">
        <v>16</v>
      </c>
      <c r="E148" s="3">
        <v>28</v>
      </c>
      <c r="F148" s="5">
        <v>4921</v>
      </c>
      <c r="G148" s="5">
        <f t="shared" si="16"/>
        <v>175.75</v>
      </c>
      <c r="H148" s="5">
        <v>1002.74041582348</v>
      </c>
      <c r="I148" s="1" t="str">
        <f t="shared" si="17"/>
        <v>Q2</v>
      </c>
      <c r="J148" s="1">
        <f t="shared" si="18"/>
        <v>2024</v>
      </c>
      <c r="K148" s="8">
        <f t="shared" si="19"/>
        <v>0.20376761142521438</v>
      </c>
    </row>
    <row r="149" spans="1:11" x14ac:dyDescent="0.35">
      <c r="A149" s="4">
        <v>45439</v>
      </c>
      <c r="B149" s="1" t="s">
        <v>7</v>
      </c>
      <c r="C149" s="1" t="s">
        <v>11</v>
      </c>
      <c r="D149" s="1" t="s">
        <v>19</v>
      </c>
      <c r="E149" s="3">
        <v>8</v>
      </c>
      <c r="F149" s="5">
        <v>625</v>
      </c>
      <c r="G149" s="5">
        <f t="shared" si="16"/>
        <v>78.125</v>
      </c>
      <c r="H149" s="5">
        <v>136.40942946811609</v>
      </c>
      <c r="I149" s="1" t="str">
        <f t="shared" si="17"/>
        <v>Q2</v>
      </c>
      <c r="J149" s="1">
        <f t="shared" si="18"/>
        <v>2024</v>
      </c>
      <c r="K149" s="8">
        <f t="shared" si="19"/>
        <v>0.21825508714898573</v>
      </c>
    </row>
    <row r="150" spans="1:11" x14ac:dyDescent="0.35">
      <c r="A150" s="4">
        <v>45440</v>
      </c>
      <c r="B150" s="1" t="s">
        <v>9</v>
      </c>
      <c r="C150" s="1" t="s">
        <v>11</v>
      </c>
      <c r="D150" s="1" t="s">
        <v>19</v>
      </c>
      <c r="E150" s="3">
        <v>41</v>
      </c>
      <c r="F150" s="5">
        <v>4669</v>
      </c>
      <c r="G150" s="5">
        <f t="shared" si="16"/>
        <v>113.8780487804878</v>
      </c>
      <c r="H150" s="5">
        <v>839.48872487392759</v>
      </c>
      <c r="I150" s="1" t="str">
        <f t="shared" si="17"/>
        <v>Q2</v>
      </c>
      <c r="J150" s="1">
        <f t="shared" si="18"/>
        <v>2024</v>
      </c>
      <c r="K150" s="8">
        <f t="shared" si="19"/>
        <v>0.17980054077402605</v>
      </c>
    </row>
    <row r="151" spans="1:11" x14ac:dyDescent="0.35">
      <c r="A151" s="4">
        <v>45441</v>
      </c>
      <c r="B151" s="1" t="s">
        <v>8</v>
      </c>
      <c r="C151" s="1" t="s">
        <v>12</v>
      </c>
      <c r="D151" s="1" t="s">
        <v>16</v>
      </c>
      <c r="E151" s="3">
        <v>39</v>
      </c>
      <c r="F151" s="5">
        <v>4223</v>
      </c>
      <c r="G151" s="5">
        <f t="shared" si="16"/>
        <v>108.28205128205128</v>
      </c>
      <c r="H151" s="5">
        <v>468.5516801490877</v>
      </c>
      <c r="I151" s="1" t="str">
        <f t="shared" si="17"/>
        <v>Q2</v>
      </c>
      <c r="J151" s="1">
        <f t="shared" si="18"/>
        <v>2024</v>
      </c>
      <c r="K151" s="8">
        <f t="shared" si="19"/>
        <v>0.11095232776440628</v>
      </c>
    </row>
    <row r="152" spans="1:11" x14ac:dyDescent="0.35">
      <c r="A152" s="4">
        <v>45442</v>
      </c>
      <c r="B152" s="1" t="s">
        <v>7</v>
      </c>
      <c r="C152" s="1" t="s">
        <v>14</v>
      </c>
      <c r="D152" s="1" t="s">
        <v>17</v>
      </c>
      <c r="E152" s="3">
        <v>1</v>
      </c>
      <c r="F152" s="5">
        <v>2225</v>
      </c>
      <c r="G152" s="5">
        <f t="shared" si="16"/>
        <v>2225</v>
      </c>
      <c r="H152" s="5">
        <v>371.66277253242589</v>
      </c>
      <c r="I152" s="1" t="str">
        <f t="shared" si="17"/>
        <v>Q2</v>
      </c>
      <c r="J152" s="1">
        <f t="shared" si="18"/>
        <v>2024</v>
      </c>
      <c r="K152" s="8">
        <f t="shared" si="19"/>
        <v>0.16703944832918016</v>
      </c>
    </row>
    <row r="153" spans="1:11" x14ac:dyDescent="0.35">
      <c r="A153" s="4">
        <v>45443</v>
      </c>
      <c r="B153" s="1" t="s">
        <v>7</v>
      </c>
      <c r="C153" s="1" t="s">
        <v>14</v>
      </c>
      <c r="D153" s="1" t="s">
        <v>18</v>
      </c>
      <c r="E153" s="3">
        <v>3</v>
      </c>
      <c r="F153" s="5">
        <v>3387</v>
      </c>
      <c r="G153" s="5">
        <f t="shared" si="16"/>
        <v>1129</v>
      </c>
      <c r="H153" s="5">
        <v>882.55292608029299</v>
      </c>
      <c r="I153" s="1" t="str">
        <f t="shared" si="17"/>
        <v>Q2</v>
      </c>
      <c r="J153" s="1">
        <f t="shared" si="18"/>
        <v>2024</v>
      </c>
      <c r="K153" s="8">
        <f t="shared" si="19"/>
        <v>0.26057068971960229</v>
      </c>
    </row>
    <row r="154" spans="1:11" x14ac:dyDescent="0.35">
      <c r="A154" s="4">
        <v>45444</v>
      </c>
      <c r="B154" s="1" t="s">
        <v>9</v>
      </c>
      <c r="C154" s="1" t="s">
        <v>13</v>
      </c>
      <c r="D154" s="1" t="s">
        <v>16</v>
      </c>
      <c r="E154" s="3">
        <v>13</v>
      </c>
      <c r="F154" s="5">
        <v>464</v>
      </c>
      <c r="G154" s="5">
        <f t="shared" si="16"/>
        <v>35.692307692307693</v>
      </c>
      <c r="H154" s="5">
        <v>46.829851734827137</v>
      </c>
      <c r="I154" s="1" t="str">
        <f t="shared" si="17"/>
        <v>Q3</v>
      </c>
      <c r="J154" s="1">
        <f t="shared" si="18"/>
        <v>2024</v>
      </c>
      <c r="K154" s="8">
        <f t="shared" si="19"/>
        <v>0.10092640460092056</v>
      </c>
    </row>
    <row r="155" spans="1:11" x14ac:dyDescent="0.35">
      <c r="A155" s="4">
        <v>45445</v>
      </c>
      <c r="B155" s="1" t="s">
        <v>7</v>
      </c>
      <c r="C155" s="1" t="s">
        <v>14</v>
      </c>
      <c r="D155" s="1" t="s">
        <v>17</v>
      </c>
      <c r="E155" s="3">
        <v>28</v>
      </c>
      <c r="F155" s="5">
        <v>4721</v>
      </c>
      <c r="G155" s="5">
        <f t="shared" si="16"/>
        <v>168.60714285714286</v>
      </c>
      <c r="H155" s="5">
        <v>786.98991791077833</v>
      </c>
      <c r="I155" s="1" t="str">
        <f t="shared" si="17"/>
        <v>Q3</v>
      </c>
      <c r="J155" s="1">
        <f t="shared" si="18"/>
        <v>2024</v>
      </c>
      <c r="K155" s="8">
        <f t="shared" si="19"/>
        <v>0.16669983433822883</v>
      </c>
    </row>
    <row r="156" spans="1:11" x14ac:dyDescent="0.35">
      <c r="A156" s="4">
        <v>45446</v>
      </c>
      <c r="B156" s="1" t="s">
        <v>9</v>
      </c>
      <c r="C156" s="1" t="s">
        <v>14</v>
      </c>
      <c r="D156" s="1" t="s">
        <v>19</v>
      </c>
      <c r="E156" s="3">
        <v>49</v>
      </c>
      <c r="F156" s="5">
        <v>1746</v>
      </c>
      <c r="G156" s="5">
        <f t="shared" si="16"/>
        <v>35.632653061224488</v>
      </c>
      <c r="H156" s="5">
        <v>313.64050780195743</v>
      </c>
      <c r="I156" s="1" t="str">
        <f t="shared" si="17"/>
        <v>Q3</v>
      </c>
      <c r="J156" s="1">
        <f t="shared" si="18"/>
        <v>2024</v>
      </c>
      <c r="K156" s="8">
        <f t="shared" si="19"/>
        <v>0.17963373871818866</v>
      </c>
    </row>
    <row r="157" spans="1:11" x14ac:dyDescent="0.35">
      <c r="A157" s="4">
        <v>45447</v>
      </c>
      <c r="B157" s="1" t="s">
        <v>10</v>
      </c>
      <c r="C157" s="1" t="s">
        <v>14</v>
      </c>
      <c r="D157" s="1" t="s">
        <v>19</v>
      </c>
      <c r="E157" s="3">
        <v>25</v>
      </c>
      <c r="F157" s="5">
        <v>1018</v>
      </c>
      <c r="G157" s="5">
        <f t="shared" si="16"/>
        <v>40.72</v>
      </c>
      <c r="H157" s="5">
        <v>211.21374475816111</v>
      </c>
      <c r="I157" s="1" t="str">
        <f t="shared" si="17"/>
        <v>Q3</v>
      </c>
      <c r="J157" s="1">
        <f t="shared" si="18"/>
        <v>2024</v>
      </c>
      <c r="K157" s="8">
        <f t="shared" si="19"/>
        <v>0.20747912058758458</v>
      </c>
    </row>
    <row r="158" spans="1:11" x14ac:dyDescent="0.35">
      <c r="A158" s="4">
        <v>45448</v>
      </c>
      <c r="B158" s="1" t="s">
        <v>7</v>
      </c>
      <c r="C158" s="1" t="s">
        <v>15</v>
      </c>
      <c r="D158" s="1" t="s">
        <v>17</v>
      </c>
      <c r="E158" s="3">
        <v>33</v>
      </c>
      <c r="F158" s="5">
        <v>2897</v>
      </c>
      <c r="G158" s="5">
        <f t="shared" si="16"/>
        <v>87.787878787878782</v>
      </c>
      <c r="H158" s="5">
        <v>822.66434414955336</v>
      </c>
      <c r="I158" s="1" t="str">
        <f t="shared" si="17"/>
        <v>Q3</v>
      </c>
      <c r="J158" s="1">
        <f t="shared" si="18"/>
        <v>2024</v>
      </c>
      <c r="K158" s="8">
        <f t="shared" si="19"/>
        <v>0.28397112328255208</v>
      </c>
    </row>
    <row r="159" spans="1:11" x14ac:dyDescent="0.35">
      <c r="A159" s="4">
        <v>45449</v>
      </c>
      <c r="B159" s="1" t="s">
        <v>10</v>
      </c>
      <c r="C159" s="1" t="s">
        <v>13</v>
      </c>
      <c r="D159" s="1" t="s">
        <v>18</v>
      </c>
      <c r="E159" s="3">
        <v>38</v>
      </c>
      <c r="F159" s="5">
        <v>1631</v>
      </c>
      <c r="G159" s="5">
        <f t="shared" si="16"/>
        <v>42.921052631578945</v>
      </c>
      <c r="H159" s="5">
        <v>276.07806336217658</v>
      </c>
      <c r="I159" s="1" t="str">
        <f t="shared" si="17"/>
        <v>Q3</v>
      </c>
      <c r="J159" s="1">
        <f t="shared" si="18"/>
        <v>2024</v>
      </c>
      <c r="K159" s="8">
        <f t="shared" si="19"/>
        <v>0.16926919887319225</v>
      </c>
    </row>
    <row r="160" spans="1:11" x14ac:dyDescent="0.35">
      <c r="A160" s="4">
        <v>45450</v>
      </c>
      <c r="B160" s="1" t="s">
        <v>9</v>
      </c>
      <c r="C160" s="1" t="s">
        <v>11</v>
      </c>
      <c r="D160" s="1" t="s">
        <v>19</v>
      </c>
      <c r="E160" s="3">
        <v>6</v>
      </c>
      <c r="F160" s="5">
        <v>3445</v>
      </c>
      <c r="G160" s="5">
        <f t="shared" si="16"/>
        <v>574.16666666666663</v>
      </c>
      <c r="H160" s="5">
        <v>583.5507561065009</v>
      </c>
      <c r="I160" s="1" t="str">
        <f t="shared" si="17"/>
        <v>Q3</v>
      </c>
      <c r="J160" s="1">
        <f t="shared" si="18"/>
        <v>2024</v>
      </c>
      <c r="K160" s="8">
        <f t="shared" si="19"/>
        <v>0.16939064037924553</v>
      </c>
    </row>
    <row r="161" spans="1:11" x14ac:dyDescent="0.35">
      <c r="A161" s="4">
        <v>45451</v>
      </c>
      <c r="B161" s="1" t="s">
        <v>8</v>
      </c>
      <c r="C161" s="1" t="s">
        <v>12</v>
      </c>
      <c r="D161" s="1" t="s">
        <v>19</v>
      </c>
      <c r="E161" s="3">
        <v>44</v>
      </c>
      <c r="F161" s="5">
        <v>2006</v>
      </c>
      <c r="G161" s="5">
        <f t="shared" si="16"/>
        <v>45.590909090909093</v>
      </c>
      <c r="H161" s="5">
        <v>496.48550074163097</v>
      </c>
      <c r="I161" s="1" t="str">
        <f t="shared" si="17"/>
        <v>Q3</v>
      </c>
      <c r="J161" s="1">
        <f t="shared" si="18"/>
        <v>2024</v>
      </c>
      <c r="K161" s="8">
        <f t="shared" si="19"/>
        <v>0.24750024962194964</v>
      </c>
    </row>
    <row r="162" spans="1:11" x14ac:dyDescent="0.35">
      <c r="A162" s="4">
        <v>45452</v>
      </c>
      <c r="B162" s="1" t="s">
        <v>7</v>
      </c>
      <c r="C162" s="1" t="s">
        <v>11</v>
      </c>
      <c r="D162" s="1" t="s">
        <v>19</v>
      </c>
      <c r="E162" s="3">
        <v>45</v>
      </c>
      <c r="F162" s="5">
        <v>3186</v>
      </c>
      <c r="G162" s="5">
        <f t="shared" ref="G162:G193" si="20">F162/E162</f>
        <v>70.8</v>
      </c>
      <c r="H162" s="5">
        <v>606.75327193498504</v>
      </c>
      <c r="I162" s="1" t="str">
        <f t="shared" ref="I162:I193" si="21">"Q"&amp;ROUND(INT(MONTH(A162)+2)/3,0)</f>
        <v>Q3</v>
      </c>
      <c r="J162" s="1">
        <f t="shared" ref="J162:J193" si="22">YEAR(A162)</f>
        <v>2024</v>
      </c>
      <c r="K162" s="8">
        <f t="shared" ref="K162:K193" si="23">IF(F162=0,0,H162/F162)</f>
        <v>0.19044358817796139</v>
      </c>
    </row>
    <row r="163" spans="1:11" x14ac:dyDescent="0.35">
      <c r="A163" s="4">
        <v>45453</v>
      </c>
      <c r="B163" s="1" t="s">
        <v>9</v>
      </c>
      <c r="C163" s="1" t="s">
        <v>13</v>
      </c>
      <c r="D163" s="1" t="s">
        <v>17</v>
      </c>
      <c r="E163" s="3">
        <v>32</v>
      </c>
      <c r="F163" s="5">
        <v>4680</v>
      </c>
      <c r="G163" s="5">
        <f t="shared" si="20"/>
        <v>146.25</v>
      </c>
      <c r="H163" s="5">
        <v>678.23011427182314</v>
      </c>
      <c r="I163" s="1" t="str">
        <f t="shared" si="21"/>
        <v>Q3</v>
      </c>
      <c r="J163" s="1">
        <f t="shared" si="22"/>
        <v>2024</v>
      </c>
      <c r="K163" s="8">
        <f t="shared" si="23"/>
        <v>0.14492096458799639</v>
      </c>
    </row>
    <row r="164" spans="1:11" x14ac:dyDescent="0.35">
      <c r="A164" s="4">
        <v>45454</v>
      </c>
      <c r="B164" s="1" t="s">
        <v>8</v>
      </c>
      <c r="C164" s="1" t="s">
        <v>12</v>
      </c>
      <c r="D164" s="1" t="s">
        <v>16</v>
      </c>
      <c r="E164" s="3">
        <v>45</v>
      </c>
      <c r="F164" s="5">
        <v>2175</v>
      </c>
      <c r="G164" s="5">
        <f t="shared" si="20"/>
        <v>48.333333333333336</v>
      </c>
      <c r="H164" s="5">
        <v>414.31118951772157</v>
      </c>
      <c r="I164" s="1" t="str">
        <f t="shared" si="21"/>
        <v>Q3</v>
      </c>
      <c r="J164" s="1">
        <f t="shared" si="22"/>
        <v>2024</v>
      </c>
      <c r="K164" s="8">
        <f t="shared" si="23"/>
        <v>0.19048790322653866</v>
      </c>
    </row>
    <row r="165" spans="1:11" x14ac:dyDescent="0.35">
      <c r="A165" s="4">
        <v>45455</v>
      </c>
      <c r="B165" s="1" t="s">
        <v>8</v>
      </c>
      <c r="C165" s="1" t="s">
        <v>13</v>
      </c>
      <c r="D165" s="1" t="s">
        <v>19</v>
      </c>
      <c r="E165" s="3">
        <v>47</v>
      </c>
      <c r="F165" s="5">
        <v>813</v>
      </c>
      <c r="G165" s="5">
        <f t="shared" si="20"/>
        <v>17.297872340425531</v>
      </c>
      <c r="H165" s="5">
        <v>104.20335151375551</v>
      </c>
      <c r="I165" s="1" t="str">
        <f t="shared" si="21"/>
        <v>Q3</v>
      </c>
      <c r="J165" s="1">
        <f t="shared" si="22"/>
        <v>2024</v>
      </c>
      <c r="K165" s="8">
        <f t="shared" si="23"/>
        <v>0.12817140407596003</v>
      </c>
    </row>
    <row r="166" spans="1:11" x14ac:dyDescent="0.35">
      <c r="A166" s="4">
        <v>45456</v>
      </c>
      <c r="B166" s="1" t="s">
        <v>10</v>
      </c>
      <c r="C166" s="1" t="s">
        <v>14</v>
      </c>
      <c r="D166" s="1" t="s">
        <v>16</v>
      </c>
      <c r="E166" s="3">
        <v>21</v>
      </c>
      <c r="F166" s="5">
        <v>1162</v>
      </c>
      <c r="G166" s="5">
        <f t="shared" si="20"/>
        <v>55.333333333333336</v>
      </c>
      <c r="H166" s="5">
        <v>157.19233566404631</v>
      </c>
      <c r="I166" s="1" t="str">
        <f t="shared" si="21"/>
        <v>Q3</v>
      </c>
      <c r="J166" s="1">
        <f t="shared" si="22"/>
        <v>2024</v>
      </c>
      <c r="K166" s="8">
        <f t="shared" si="23"/>
        <v>0.13527739730124466</v>
      </c>
    </row>
    <row r="167" spans="1:11" x14ac:dyDescent="0.35">
      <c r="A167" s="4">
        <v>45457</v>
      </c>
      <c r="B167" s="1" t="s">
        <v>9</v>
      </c>
      <c r="C167" s="1" t="s">
        <v>12</v>
      </c>
      <c r="D167" s="1" t="s">
        <v>18</v>
      </c>
      <c r="E167" s="3">
        <v>16</v>
      </c>
      <c r="F167" s="5">
        <v>2076</v>
      </c>
      <c r="G167" s="5">
        <f t="shared" si="20"/>
        <v>129.75</v>
      </c>
      <c r="H167" s="5">
        <v>414.52229924143188</v>
      </c>
      <c r="I167" s="1" t="str">
        <f t="shared" si="21"/>
        <v>Q3</v>
      </c>
      <c r="J167" s="1">
        <f t="shared" si="22"/>
        <v>2024</v>
      </c>
      <c r="K167" s="8">
        <f t="shared" si="23"/>
        <v>0.1996735545478959</v>
      </c>
    </row>
    <row r="168" spans="1:11" x14ac:dyDescent="0.35">
      <c r="A168" s="4">
        <v>45458</v>
      </c>
      <c r="B168" s="1" t="s">
        <v>8</v>
      </c>
      <c r="C168" s="1" t="s">
        <v>14</v>
      </c>
      <c r="D168" s="1" t="s">
        <v>19</v>
      </c>
      <c r="E168" s="3">
        <v>21</v>
      </c>
      <c r="F168" s="5">
        <v>1396</v>
      </c>
      <c r="G168" s="5">
        <f t="shared" si="20"/>
        <v>66.476190476190482</v>
      </c>
      <c r="H168" s="5">
        <v>256.56398550166978</v>
      </c>
      <c r="I168" s="1" t="str">
        <f t="shared" si="21"/>
        <v>Q3</v>
      </c>
      <c r="J168" s="1">
        <f t="shared" si="22"/>
        <v>2024</v>
      </c>
      <c r="K168" s="8">
        <f t="shared" si="23"/>
        <v>0.18378508990090958</v>
      </c>
    </row>
    <row r="169" spans="1:11" x14ac:dyDescent="0.35">
      <c r="A169" s="4">
        <v>45459</v>
      </c>
      <c r="B169" s="1" t="s">
        <v>7</v>
      </c>
      <c r="C169" s="1" t="s">
        <v>11</v>
      </c>
      <c r="D169" s="1" t="s">
        <v>19</v>
      </c>
      <c r="E169" s="3">
        <v>11</v>
      </c>
      <c r="F169" s="5">
        <v>225</v>
      </c>
      <c r="G169" s="5">
        <f t="shared" si="20"/>
        <v>20.454545454545453</v>
      </c>
      <c r="H169" s="5">
        <v>63.668065548064497</v>
      </c>
      <c r="I169" s="1" t="str">
        <f t="shared" si="21"/>
        <v>Q3</v>
      </c>
      <c r="J169" s="1">
        <f t="shared" si="22"/>
        <v>2024</v>
      </c>
      <c r="K169" s="8">
        <f t="shared" si="23"/>
        <v>0.28296918021362</v>
      </c>
    </row>
    <row r="170" spans="1:11" x14ac:dyDescent="0.35">
      <c r="A170" s="4">
        <v>45460</v>
      </c>
      <c r="B170" s="1" t="s">
        <v>7</v>
      </c>
      <c r="C170" s="1" t="s">
        <v>11</v>
      </c>
      <c r="D170" s="1" t="s">
        <v>18</v>
      </c>
      <c r="E170" s="3">
        <v>37</v>
      </c>
      <c r="F170" s="5">
        <v>4732</v>
      </c>
      <c r="G170" s="5">
        <f t="shared" si="20"/>
        <v>127.89189189189189</v>
      </c>
      <c r="H170" s="5">
        <v>816.16958612398162</v>
      </c>
      <c r="I170" s="1" t="str">
        <f t="shared" si="21"/>
        <v>Q3</v>
      </c>
      <c r="J170" s="1">
        <f t="shared" si="22"/>
        <v>2024</v>
      </c>
      <c r="K170" s="8">
        <f t="shared" si="23"/>
        <v>0.17247877982332663</v>
      </c>
    </row>
    <row r="171" spans="1:11" x14ac:dyDescent="0.35">
      <c r="A171" s="4">
        <v>45461</v>
      </c>
      <c r="B171" s="1" t="s">
        <v>10</v>
      </c>
      <c r="C171" s="1" t="s">
        <v>12</v>
      </c>
      <c r="D171" s="1" t="s">
        <v>19</v>
      </c>
      <c r="E171" s="3">
        <v>36</v>
      </c>
      <c r="F171" s="5">
        <v>3696</v>
      </c>
      <c r="G171" s="5">
        <f t="shared" si="20"/>
        <v>102.66666666666667</v>
      </c>
      <c r="H171" s="5">
        <v>798.77090852552965</v>
      </c>
      <c r="I171" s="1" t="str">
        <f t="shared" si="21"/>
        <v>Q3</v>
      </c>
      <c r="J171" s="1">
        <f t="shared" si="22"/>
        <v>2024</v>
      </c>
      <c r="K171" s="8">
        <f t="shared" si="23"/>
        <v>0.21611767005560867</v>
      </c>
    </row>
    <row r="172" spans="1:11" x14ac:dyDescent="0.35">
      <c r="A172" s="4">
        <v>45462</v>
      </c>
      <c r="B172" s="1" t="s">
        <v>8</v>
      </c>
      <c r="C172" s="1" t="s">
        <v>12</v>
      </c>
      <c r="D172" s="1" t="s">
        <v>16</v>
      </c>
      <c r="E172" s="3">
        <v>35</v>
      </c>
      <c r="F172" s="5">
        <v>3383</v>
      </c>
      <c r="G172" s="5">
        <f t="shared" si="20"/>
        <v>96.657142857142858</v>
      </c>
      <c r="H172" s="5">
        <v>766.09001720635422</v>
      </c>
      <c r="I172" s="1" t="str">
        <f t="shared" si="21"/>
        <v>Q3</v>
      </c>
      <c r="J172" s="1">
        <f t="shared" si="22"/>
        <v>2024</v>
      </c>
      <c r="K172" s="8">
        <f t="shared" si="23"/>
        <v>0.22645285758390607</v>
      </c>
    </row>
    <row r="173" spans="1:11" x14ac:dyDescent="0.35">
      <c r="A173" s="4">
        <v>45463</v>
      </c>
      <c r="B173" s="1" t="s">
        <v>9</v>
      </c>
      <c r="C173" s="1" t="s">
        <v>13</v>
      </c>
      <c r="D173" s="1" t="s">
        <v>17</v>
      </c>
      <c r="E173" s="3">
        <v>19</v>
      </c>
      <c r="F173" s="5">
        <v>1703</v>
      </c>
      <c r="G173" s="5">
        <f t="shared" si="20"/>
        <v>89.631578947368425</v>
      </c>
      <c r="H173" s="5">
        <v>174.75997191398639</v>
      </c>
      <c r="I173" s="1" t="str">
        <f t="shared" si="21"/>
        <v>Q3</v>
      </c>
      <c r="J173" s="1">
        <f t="shared" si="22"/>
        <v>2024</v>
      </c>
      <c r="K173" s="8">
        <f t="shared" si="23"/>
        <v>0.1026188913176667</v>
      </c>
    </row>
    <row r="174" spans="1:11" x14ac:dyDescent="0.35">
      <c r="A174" s="4">
        <v>45464</v>
      </c>
      <c r="B174" s="1" t="s">
        <v>7</v>
      </c>
      <c r="C174" s="1" t="s">
        <v>13</v>
      </c>
      <c r="D174" s="1" t="s">
        <v>16</v>
      </c>
      <c r="E174" s="3">
        <v>20</v>
      </c>
      <c r="F174" s="5">
        <v>166</v>
      </c>
      <c r="G174" s="5">
        <f t="shared" si="20"/>
        <v>8.3000000000000007</v>
      </c>
      <c r="H174" s="5">
        <v>38.629440750954792</v>
      </c>
      <c r="I174" s="1" t="str">
        <f t="shared" si="21"/>
        <v>Q3</v>
      </c>
      <c r="J174" s="1">
        <f t="shared" si="22"/>
        <v>2024</v>
      </c>
      <c r="K174" s="8">
        <f t="shared" si="23"/>
        <v>0.23270747440334213</v>
      </c>
    </row>
    <row r="175" spans="1:11" x14ac:dyDescent="0.35">
      <c r="A175" s="4">
        <v>45465</v>
      </c>
      <c r="B175" s="1" t="s">
        <v>8</v>
      </c>
      <c r="C175" s="1" t="s">
        <v>14</v>
      </c>
      <c r="D175" s="1" t="s">
        <v>17</v>
      </c>
      <c r="E175" s="3">
        <v>18</v>
      </c>
      <c r="F175" s="5">
        <v>332</v>
      </c>
      <c r="G175" s="5">
        <f t="shared" si="20"/>
        <v>18.444444444444443</v>
      </c>
      <c r="H175" s="5">
        <v>45.021588200151491</v>
      </c>
      <c r="I175" s="1" t="str">
        <f t="shared" si="21"/>
        <v>Q3</v>
      </c>
      <c r="J175" s="1">
        <f t="shared" si="22"/>
        <v>2024</v>
      </c>
      <c r="K175" s="8">
        <f t="shared" si="23"/>
        <v>0.13560719337395027</v>
      </c>
    </row>
    <row r="176" spans="1:11" x14ac:dyDescent="0.35">
      <c r="A176" s="4">
        <v>45466</v>
      </c>
      <c r="B176" s="1" t="s">
        <v>8</v>
      </c>
      <c r="C176" s="1" t="s">
        <v>12</v>
      </c>
      <c r="D176" s="1" t="s">
        <v>17</v>
      </c>
      <c r="E176" s="3">
        <v>47</v>
      </c>
      <c r="F176" s="5">
        <v>2256</v>
      </c>
      <c r="G176" s="5">
        <f t="shared" si="20"/>
        <v>48</v>
      </c>
      <c r="H176" s="5">
        <v>659.23492724221808</v>
      </c>
      <c r="I176" s="1" t="str">
        <f t="shared" si="21"/>
        <v>Q3</v>
      </c>
      <c r="J176" s="1">
        <f t="shared" si="22"/>
        <v>2024</v>
      </c>
      <c r="K176" s="8">
        <f t="shared" si="23"/>
        <v>0.29221406349389101</v>
      </c>
    </row>
    <row r="177" spans="1:11" x14ac:dyDescent="0.35">
      <c r="A177" s="4">
        <v>45467</v>
      </c>
      <c r="B177" s="1" t="s">
        <v>10</v>
      </c>
      <c r="C177" s="1" t="s">
        <v>11</v>
      </c>
      <c r="D177" s="1" t="s">
        <v>16</v>
      </c>
      <c r="E177" s="3">
        <v>41</v>
      </c>
      <c r="F177" s="5">
        <v>1269</v>
      </c>
      <c r="G177" s="5">
        <f t="shared" si="20"/>
        <v>30.951219512195124</v>
      </c>
      <c r="H177" s="5">
        <v>164.6306003037401</v>
      </c>
      <c r="I177" s="1" t="str">
        <f t="shared" si="21"/>
        <v>Q3</v>
      </c>
      <c r="J177" s="1">
        <f t="shared" si="22"/>
        <v>2024</v>
      </c>
      <c r="K177" s="8">
        <f t="shared" si="23"/>
        <v>0.12973254555062261</v>
      </c>
    </row>
    <row r="178" spans="1:11" x14ac:dyDescent="0.35">
      <c r="A178" s="4">
        <v>45468</v>
      </c>
      <c r="B178" s="1" t="s">
        <v>7</v>
      </c>
      <c r="C178" s="1" t="s">
        <v>13</v>
      </c>
      <c r="D178" s="1" t="s">
        <v>16</v>
      </c>
      <c r="E178" s="3">
        <v>49</v>
      </c>
      <c r="F178" s="5">
        <v>2258</v>
      </c>
      <c r="G178" s="5">
        <f t="shared" si="20"/>
        <v>46.081632653061227</v>
      </c>
      <c r="H178" s="5">
        <v>413.04425427512388</v>
      </c>
      <c r="I178" s="1" t="str">
        <f t="shared" si="21"/>
        <v>Q3</v>
      </c>
      <c r="J178" s="1">
        <f t="shared" si="22"/>
        <v>2024</v>
      </c>
      <c r="K178" s="8">
        <f t="shared" si="23"/>
        <v>0.18292482474540472</v>
      </c>
    </row>
    <row r="179" spans="1:11" x14ac:dyDescent="0.35">
      <c r="A179" s="4">
        <v>45469</v>
      </c>
      <c r="B179" s="1" t="s">
        <v>7</v>
      </c>
      <c r="C179" s="1" t="s">
        <v>13</v>
      </c>
      <c r="D179" s="1" t="s">
        <v>16</v>
      </c>
      <c r="E179" s="3">
        <v>14</v>
      </c>
      <c r="F179" s="5">
        <v>4306</v>
      </c>
      <c r="G179" s="5">
        <f t="shared" si="20"/>
        <v>307.57142857142856</v>
      </c>
      <c r="H179" s="5">
        <v>504.10313414932813</v>
      </c>
      <c r="I179" s="1" t="str">
        <f t="shared" si="21"/>
        <v>Q3</v>
      </c>
      <c r="J179" s="1">
        <f t="shared" si="22"/>
        <v>2024</v>
      </c>
      <c r="K179" s="8">
        <f t="shared" si="23"/>
        <v>0.11706993361572877</v>
      </c>
    </row>
    <row r="180" spans="1:11" x14ac:dyDescent="0.35">
      <c r="A180" s="4">
        <v>45470</v>
      </c>
      <c r="B180" s="1" t="s">
        <v>9</v>
      </c>
      <c r="C180" s="1" t="s">
        <v>11</v>
      </c>
      <c r="D180" s="1" t="s">
        <v>16</v>
      </c>
      <c r="E180" s="3">
        <v>15</v>
      </c>
      <c r="F180" s="5">
        <v>1593</v>
      </c>
      <c r="G180" s="5">
        <f t="shared" si="20"/>
        <v>106.2</v>
      </c>
      <c r="H180" s="5">
        <v>476.90413663811881</v>
      </c>
      <c r="I180" s="1" t="str">
        <f t="shared" si="21"/>
        <v>Q3</v>
      </c>
      <c r="J180" s="1">
        <f t="shared" si="22"/>
        <v>2024</v>
      </c>
      <c r="K180" s="8">
        <f t="shared" si="23"/>
        <v>0.29937485036918948</v>
      </c>
    </row>
    <row r="181" spans="1:11" x14ac:dyDescent="0.35">
      <c r="A181" s="4">
        <v>45471</v>
      </c>
      <c r="B181" s="1" t="s">
        <v>7</v>
      </c>
      <c r="C181" s="1" t="s">
        <v>13</v>
      </c>
      <c r="D181" s="1" t="s">
        <v>18</v>
      </c>
      <c r="E181" s="3">
        <v>31</v>
      </c>
      <c r="F181" s="5">
        <v>4818</v>
      </c>
      <c r="G181" s="5">
        <f t="shared" si="20"/>
        <v>155.41935483870967</v>
      </c>
      <c r="H181" s="5">
        <v>965.71511195518531</v>
      </c>
      <c r="I181" s="1" t="str">
        <f t="shared" si="21"/>
        <v>Q3</v>
      </c>
      <c r="J181" s="1">
        <f t="shared" si="22"/>
        <v>2024</v>
      </c>
      <c r="K181" s="8">
        <f t="shared" si="23"/>
        <v>0.20043900206624851</v>
      </c>
    </row>
    <row r="182" spans="1:11" x14ac:dyDescent="0.35">
      <c r="A182" s="4">
        <v>45472</v>
      </c>
      <c r="B182" s="1" t="s">
        <v>9</v>
      </c>
      <c r="C182" s="1" t="s">
        <v>14</v>
      </c>
      <c r="D182" s="1" t="s">
        <v>19</v>
      </c>
      <c r="E182" s="3">
        <v>1</v>
      </c>
      <c r="F182" s="5">
        <v>4107</v>
      </c>
      <c r="G182" s="5">
        <f t="shared" si="20"/>
        <v>4107</v>
      </c>
      <c r="H182" s="5">
        <v>899.749253226684</v>
      </c>
      <c r="I182" s="1" t="str">
        <f t="shared" si="21"/>
        <v>Q3</v>
      </c>
      <c r="J182" s="1">
        <f t="shared" si="22"/>
        <v>2024</v>
      </c>
      <c r="K182" s="8">
        <f t="shared" si="23"/>
        <v>0.21907700346400877</v>
      </c>
    </row>
    <row r="183" spans="1:11" x14ac:dyDescent="0.35">
      <c r="A183" s="4">
        <v>45473</v>
      </c>
      <c r="B183" s="1" t="s">
        <v>7</v>
      </c>
      <c r="C183" s="1" t="s">
        <v>12</v>
      </c>
      <c r="D183" s="1" t="s">
        <v>17</v>
      </c>
      <c r="E183" s="3">
        <v>3</v>
      </c>
      <c r="F183" s="5">
        <v>2572</v>
      </c>
      <c r="G183" s="5">
        <f t="shared" si="20"/>
        <v>857.33333333333337</v>
      </c>
      <c r="H183" s="5">
        <v>291.70413996860708</v>
      </c>
      <c r="I183" s="1" t="str">
        <f t="shared" si="21"/>
        <v>Q3</v>
      </c>
      <c r="J183" s="1">
        <f t="shared" si="22"/>
        <v>2024</v>
      </c>
      <c r="K183" s="8">
        <f t="shared" si="23"/>
        <v>0.11341529547768549</v>
      </c>
    </row>
    <row r="184" spans="1:11" x14ac:dyDescent="0.35">
      <c r="A184" s="4">
        <v>45474</v>
      </c>
      <c r="B184" s="1" t="s">
        <v>10</v>
      </c>
      <c r="C184" s="1" t="s">
        <v>11</v>
      </c>
      <c r="D184" s="1" t="s">
        <v>16</v>
      </c>
      <c r="E184" s="3">
        <v>16</v>
      </c>
      <c r="F184" s="5">
        <v>2760</v>
      </c>
      <c r="G184" s="5">
        <f t="shared" si="20"/>
        <v>172.5</v>
      </c>
      <c r="H184" s="5">
        <v>689.97817966034609</v>
      </c>
      <c r="I184" s="1" t="str">
        <f t="shared" si="21"/>
        <v>Q3</v>
      </c>
      <c r="J184" s="1">
        <f t="shared" si="22"/>
        <v>2024</v>
      </c>
      <c r="K184" s="8">
        <f t="shared" si="23"/>
        <v>0.24999209407983553</v>
      </c>
    </row>
    <row r="185" spans="1:11" x14ac:dyDescent="0.35">
      <c r="A185" s="4">
        <v>45475</v>
      </c>
      <c r="B185" s="1" t="s">
        <v>7</v>
      </c>
      <c r="C185" s="1" t="s">
        <v>12</v>
      </c>
      <c r="D185" s="1" t="s">
        <v>16</v>
      </c>
      <c r="E185" s="3">
        <v>23</v>
      </c>
      <c r="F185" s="5">
        <v>2839</v>
      </c>
      <c r="G185" s="5">
        <f t="shared" si="20"/>
        <v>123.43478260869566</v>
      </c>
      <c r="H185" s="5">
        <v>403.08439575967361</v>
      </c>
      <c r="I185" s="1" t="str">
        <f t="shared" si="21"/>
        <v>Q3</v>
      </c>
      <c r="J185" s="1">
        <f t="shared" si="22"/>
        <v>2024</v>
      </c>
      <c r="K185" s="8">
        <f t="shared" si="23"/>
        <v>0.14198111861911716</v>
      </c>
    </row>
    <row r="186" spans="1:11" x14ac:dyDescent="0.35">
      <c r="A186" s="4">
        <v>45476</v>
      </c>
      <c r="B186" s="1" t="s">
        <v>9</v>
      </c>
      <c r="C186" s="1" t="s">
        <v>13</v>
      </c>
      <c r="D186" s="1" t="s">
        <v>16</v>
      </c>
      <c r="E186" s="3">
        <v>11</v>
      </c>
      <c r="F186" s="5">
        <v>1861</v>
      </c>
      <c r="G186" s="5">
        <f t="shared" si="20"/>
        <v>169.18181818181819</v>
      </c>
      <c r="H186" s="5">
        <v>520.35580652983367</v>
      </c>
      <c r="I186" s="1" t="str">
        <f t="shared" si="21"/>
        <v>Q3</v>
      </c>
      <c r="J186" s="1">
        <f t="shared" si="22"/>
        <v>2024</v>
      </c>
      <c r="K186" s="8">
        <f t="shared" si="23"/>
        <v>0.27961085788814277</v>
      </c>
    </row>
    <row r="187" spans="1:11" x14ac:dyDescent="0.35">
      <c r="A187" s="4">
        <v>45477</v>
      </c>
      <c r="B187" s="1" t="s">
        <v>9</v>
      </c>
      <c r="C187" s="1" t="s">
        <v>13</v>
      </c>
      <c r="D187" s="1" t="s">
        <v>18</v>
      </c>
      <c r="E187" s="3">
        <v>12</v>
      </c>
      <c r="F187" s="5">
        <v>3614</v>
      </c>
      <c r="G187" s="5">
        <f t="shared" si="20"/>
        <v>301.16666666666669</v>
      </c>
      <c r="H187" s="5">
        <v>509.67493214039479</v>
      </c>
      <c r="I187" s="1" t="str">
        <f t="shared" si="21"/>
        <v>Q3</v>
      </c>
      <c r="J187" s="1">
        <f t="shared" si="22"/>
        <v>2024</v>
      </c>
      <c r="K187" s="8">
        <f t="shared" si="23"/>
        <v>0.14102792809640144</v>
      </c>
    </row>
    <row r="188" spans="1:11" x14ac:dyDescent="0.35">
      <c r="A188" s="4">
        <v>45478</v>
      </c>
      <c r="B188" s="1" t="s">
        <v>10</v>
      </c>
      <c r="C188" s="1" t="s">
        <v>11</v>
      </c>
      <c r="D188" s="1" t="s">
        <v>16</v>
      </c>
      <c r="E188" s="3">
        <v>10</v>
      </c>
      <c r="F188" s="5">
        <v>2075</v>
      </c>
      <c r="G188" s="5">
        <f t="shared" si="20"/>
        <v>207.5</v>
      </c>
      <c r="H188" s="5">
        <v>286.63540407542172</v>
      </c>
      <c r="I188" s="1" t="str">
        <f t="shared" si="21"/>
        <v>Q3</v>
      </c>
      <c r="J188" s="1">
        <f t="shared" si="22"/>
        <v>2024</v>
      </c>
      <c r="K188" s="8">
        <f t="shared" si="23"/>
        <v>0.13813754413273335</v>
      </c>
    </row>
    <row r="189" spans="1:11" x14ac:dyDescent="0.35">
      <c r="A189" s="4">
        <v>45479</v>
      </c>
      <c r="B189" s="1" t="s">
        <v>7</v>
      </c>
      <c r="C189" s="1" t="s">
        <v>14</v>
      </c>
      <c r="D189" s="1" t="s">
        <v>16</v>
      </c>
      <c r="E189" s="3">
        <v>32</v>
      </c>
      <c r="F189" s="5">
        <v>2462</v>
      </c>
      <c r="G189" s="5">
        <f t="shared" si="20"/>
        <v>76.9375</v>
      </c>
      <c r="H189" s="5">
        <v>264.19705644840201</v>
      </c>
      <c r="I189" s="1" t="str">
        <f t="shared" si="21"/>
        <v>Q3</v>
      </c>
      <c r="J189" s="1">
        <f t="shared" si="22"/>
        <v>2024</v>
      </c>
      <c r="K189" s="8">
        <f t="shared" si="23"/>
        <v>0.10730993356961901</v>
      </c>
    </row>
    <row r="190" spans="1:11" x14ac:dyDescent="0.35">
      <c r="A190" s="4">
        <v>45480</v>
      </c>
      <c r="B190" s="1" t="s">
        <v>7</v>
      </c>
      <c r="C190" s="1" t="s">
        <v>15</v>
      </c>
      <c r="D190" s="1" t="s">
        <v>16</v>
      </c>
      <c r="E190" s="3">
        <v>16</v>
      </c>
      <c r="F190" s="5">
        <v>976</v>
      </c>
      <c r="G190" s="5">
        <f t="shared" si="20"/>
        <v>61</v>
      </c>
      <c r="H190" s="5">
        <v>189.7474676854718</v>
      </c>
      <c r="I190" s="1" t="str">
        <f t="shared" si="21"/>
        <v>Q3</v>
      </c>
      <c r="J190" s="1">
        <f t="shared" si="22"/>
        <v>2024</v>
      </c>
      <c r="K190" s="8">
        <f t="shared" si="23"/>
        <v>0.19441338902199981</v>
      </c>
    </row>
    <row r="191" spans="1:11" x14ac:dyDescent="0.35">
      <c r="A191" s="4">
        <v>45481</v>
      </c>
      <c r="B191" s="1" t="s">
        <v>10</v>
      </c>
      <c r="C191" s="1" t="s">
        <v>11</v>
      </c>
      <c r="D191" s="1" t="s">
        <v>19</v>
      </c>
      <c r="E191" s="3">
        <v>8</v>
      </c>
      <c r="F191" s="5">
        <v>3912</v>
      </c>
      <c r="G191" s="5">
        <f t="shared" si="20"/>
        <v>489</v>
      </c>
      <c r="H191" s="5">
        <v>833.13170266467114</v>
      </c>
      <c r="I191" s="1" t="str">
        <f t="shared" si="21"/>
        <v>Q3</v>
      </c>
      <c r="J191" s="1">
        <f t="shared" si="22"/>
        <v>2024</v>
      </c>
      <c r="K191" s="8">
        <f t="shared" si="23"/>
        <v>0.2129682266525233</v>
      </c>
    </row>
    <row r="192" spans="1:11" x14ac:dyDescent="0.35">
      <c r="A192" s="4">
        <v>45482</v>
      </c>
      <c r="B192" s="1" t="s">
        <v>7</v>
      </c>
      <c r="C192" s="1" t="s">
        <v>15</v>
      </c>
      <c r="D192" s="1" t="s">
        <v>18</v>
      </c>
      <c r="E192" s="3">
        <v>38</v>
      </c>
      <c r="F192" s="5">
        <v>3548</v>
      </c>
      <c r="G192" s="5">
        <f t="shared" si="20"/>
        <v>93.368421052631575</v>
      </c>
      <c r="H192" s="5">
        <v>401.42685053835879</v>
      </c>
      <c r="I192" s="1" t="str">
        <f t="shared" si="21"/>
        <v>Q3</v>
      </c>
      <c r="J192" s="1">
        <f t="shared" si="22"/>
        <v>2024</v>
      </c>
      <c r="K192" s="8">
        <f t="shared" si="23"/>
        <v>0.11314172788567047</v>
      </c>
    </row>
    <row r="193" spans="1:11" x14ac:dyDescent="0.35">
      <c r="A193" s="4">
        <v>45483</v>
      </c>
      <c r="B193" s="1" t="s">
        <v>7</v>
      </c>
      <c r="C193" s="1" t="s">
        <v>15</v>
      </c>
      <c r="D193" s="1" t="s">
        <v>16</v>
      </c>
      <c r="E193" s="3">
        <v>12</v>
      </c>
      <c r="F193" s="5">
        <v>1412</v>
      </c>
      <c r="G193" s="5">
        <f t="shared" si="20"/>
        <v>117.66666666666667</v>
      </c>
      <c r="H193" s="5">
        <v>360.20899895467102</v>
      </c>
      <c r="I193" s="1" t="str">
        <f t="shared" si="21"/>
        <v>Q3</v>
      </c>
      <c r="J193" s="1">
        <f t="shared" si="22"/>
        <v>2024</v>
      </c>
      <c r="K193" s="8">
        <f t="shared" si="23"/>
        <v>0.25510552333900216</v>
      </c>
    </row>
    <row r="194" spans="1:11" x14ac:dyDescent="0.35">
      <c r="A194" s="4">
        <v>45484</v>
      </c>
      <c r="B194" s="1" t="s">
        <v>9</v>
      </c>
      <c r="C194" s="1" t="s">
        <v>14</v>
      </c>
      <c r="D194" s="1" t="s">
        <v>17</v>
      </c>
      <c r="E194" s="3">
        <v>24</v>
      </c>
      <c r="F194" s="5">
        <v>1560</v>
      </c>
      <c r="G194" s="5">
        <f t="shared" ref="G194:G201" si="24">F194/E194</f>
        <v>65</v>
      </c>
      <c r="H194" s="5">
        <v>297.42611644138458</v>
      </c>
      <c r="I194" s="1" t="str">
        <f t="shared" ref="I194:I201" si="25">"Q"&amp;ROUND(INT(MONTH(A194)+2)/3,0)</f>
        <v>Q3</v>
      </c>
      <c r="J194" s="1">
        <f t="shared" ref="J194:J201" si="26">YEAR(A194)</f>
        <v>2024</v>
      </c>
      <c r="K194" s="8">
        <f t="shared" ref="K194:K201" si="27">IF(F194=0,0,H194/F194)</f>
        <v>0.19065776694960551</v>
      </c>
    </row>
    <row r="195" spans="1:11" x14ac:dyDescent="0.35">
      <c r="A195" s="4">
        <v>45485</v>
      </c>
      <c r="B195" s="1" t="s">
        <v>7</v>
      </c>
      <c r="C195" s="1" t="s">
        <v>15</v>
      </c>
      <c r="D195" s="1" t="s">
        <v>17</v>
      </c>
      <c r="E195" s="3">
        <v>28</v>
      </c>
      <c r="F195" s="5">
        <v>2809</v>
      </c>
      <c r="G195" s="5">
        <f t="shared" si="24"/>
        <v>100.32142857142857</v>
      </c>
      <c r="H195" s="5">
        <v>575.50245330823441</v>
      </c>
      <c r="I195" s="1" t="str">
        <f t="shared" si="25"/>
        <v>Q3</v>
      </c>
      <c r="J195" s="1">
        <f t="shared" si="26"/>
        <v>2024</v>
      </c>
      <c r="K195" s="8">
        <f t="shared" si="27"/>
        <v>0.204878053865516</v>
      </c>
    </row>
    <row r="196" spans="1:11" x14ac:dyDescent="0.35">
      <c r="A196" s="4">
        <v>45486</v>
      </c>
      <c r="B196" s="1" t="s">
        <v>7</v>
      </c>
      <c r="C196" s="1" t="s">
        <v>15</v>
      </c>
      <c r="D196" s="1" t="s">
        <v>17</v>
      </c>
      <c r="E196" s="3">
        <v>8</v>
      </c>
      <c r="F196" s="5">
        <v>2424</v>
      </c>
      <c r="G196" s="5">
        <f t="shared" si="24"/>
        <v>303</v>
      </c>
      <c r="H196" s="5">
        <v>456.08177971565311</v>
      </c>
      <c r="I196" s="1" t="str">
        <f t="shared" si="25"/>
        <v>Q3</v>
      </c>
      <c r="J196" s="1">
        <f t="shared" si="26"/>
        <v>2024</v>
      </c>
      <c r="K196" s="8">
        <f t="shared" si="27"/>
        <v>0.18815254938764567</v>
      </c>
    </row>
    <row r="197" spans="1:11" x14ac:dyDescent="0.35">
      <c r="A197" s="4">
        <v>45487</v>
      </c>
      <c r="B197" s="1" t="s">
        <v>10</v>
      </c>
      <c r="C197" s="1" t="s">
        <v>14</v>
      </c>
      <c r="D197" s="1" t="s">
        <v>18</v>
      </c>
      <c r="E197" s="3">
        <v>28</v>
      </c>
      <c r="F197" s="5">
        <v>1833</v>
      </c>
      <c r="G197" s="5">
        <f t="shared" si="24"/>
        <v>65.464285714285708</v>
      </c>
      <c r="H197" s="5">
        <v>330.21973811689452</v>
      </c>
      <c r="I197" s="1" t="str">
        <f t="shared" si="25"/>
        <v>Q3</v>
      </c>
      <c r="J197" s="1">
        <f t="shared" si="26"/>
        <v>2024</v>
      </c>
      <c r="K197" s="8">
        <f t="shared" si="27"/>
        <v>0.1801526121750652</v>
      </c>
    </row>
    <row r="198" spans="1:11" x14ac:dyDescent="0.35">
      <c r="A198" s="4">
        <v>45488</v>
      </c>
      <c r="B198" s="1" t="s">
        <v>10</v>
      </c>
      <c r="C198" s="1" t="s">
        <v>15</v>
      </c>
      <c r="D198" s="1" t="s">
        <v>18</v>
      </c>
      <c r="E198" s="3">
        <v>36</v>
      </c>
      <c r="F198" s="5">
        <v>1705</v>
      </c>
      <c r="G198" s="5">
        <f t="shared" si="24"/>
        <v>47.361111111111114</v>
      </c>
      <c r="H198" s="5">
        <v>361.3373529761023</v>
      </c>
      <c r="I198" s="1" t="str">
        <f t="shared" si="25"/>
        <v>Q3</v>
      </c>
      <c r="J198" s="1">
        <f t="shared" si="26"/>
        <v>2024</v>
      </c>
      <c r="K198" s="8">
        <f t="shared" si="27"/>
        <v>0.21192806626164357</v>
      </c>
    </row>
    <row r="199" spans="1:11" x14ac:dyDescent="0.35">
      <c r="A199" s="4">
        <v>45489</v>
      </c>
      <c r="B199" s="1" t="s">
        <v>8</v>
      </c>
      <c r="C199" s="1" t="s">
        <v>15</v>
      </c>
      <c r="D199" s="1" t="s">
        <v>17</v>
      </c>
      <c r="E199" s="3">
        <v>26</v>
      </c>
      <c r="F199" s="5">
        <v>2663</v>
      </c>
      <c r="G199" s="5">
        <f t="shared" si="24"/>
        <v>102.42307692307692</v>
      </c>
      <c r="H199" s="5">
        <v>348.98095498269743</v>
      </c>
      <c r="I199" s="1" t="str">
        <f t="shared" si="25"/>
        <v>Q3</v>
      </c>
      <c r="J199" s="1">
        <f t="shared" si="26"/>
        <v>2024</v>
      </c>
      <c r="K199" s="8">
        <f t="shared" si="27"/>
        <v>0.13104804918614249</v>
      </c>
    </row>
    <row r="200" spans="1:11" x14ac:dyDescent="0.35">
      <c r="A200" s="4">
        <v>45490</v>
      </c>
      <c r="B200" s="1" t="s">
        <v>9</v>
      </c>
      <c r="C200" s="1" t="s">
        <v>15</v>
      </c>
      <c r="D200" s="1" t="s">
        <v>16</v>
      </c>
      <c r="E200" s="3">
        <v>8</v>
      </c>
      <c r="F200" s="5">
        <v>3521</v>
      </c>
      <c r="G200" s="5">
        <f t="shared" si="24"/>
        <v>440.125</v>
      </c>
      <c r="H200" s="5">
        <v>480.21378949476991</v>
      </c>
      <c r="I200" s="1" t="str">
        <f t="shared" si="25"/>
        <v>Q3</v>
      </c>
      <c r="J200" s="1">
        <f t="shared" si="26"/>
        <v>2024</v>
      </c>
      <c r="K200" s="8">
        <f t="shared" si="27"/>
        <v>0.13638562609905422</v>
      </c>
    </row>
    <row r="201" spans="1:11" x14ac:dyDescent="0.35">
      <c r="A201" s="4">
        <v>45491</v>
      </c>
      <c r="B201" s="1" t="s">
        <v>7</v>
      </c>
      <c r="C201" s="1" t="s">
        <v>11</v>
      </c>
      <c r="D201" s="1" t="s">
        <v>18</v>
      </c>
      <c r="E201" s="3">
        <v>28</v>
      </c>
      <c r="F201" s="5">
        <v>3617</v>
      </c>
      <c r="G201" s="5">
        <f t="shared" si="24"/>
        <v>129.17857142857142</v>
      </c>
      <c r="H201" s="5">
        <v>985.11571824117823</v>
      </c>
      <c r="I201" s="1" t="str">
        <f t="shared" si="25"/>
        <v>Q3</v>
      </c>
      <c r="J201" s="1">
        <f t="shared" si="26"/>
        <v>2024</v>
      </c>
      <c r="K201" s="8">
        <f t="shared" si="27"/>
        <v>0.27235712420270342</v>
      </c>
    </row>
  </sheetData>
  <pageMargins left="0.7" right="0.7" top="0.75" bottom="0.75" header="0.3" footer="0.3"/>
  <tableParts count="1">
    <tablePart r:id="rId1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C6263-D28D-47D1-B7F2-EF9BE2FB723F}">
  <dimension ref="AB10"/>
  <sheetViews>
    <sheetView showGridLines="0" showRowColHeaders="0" zoomScale="44" zoomScaleNormal="70" workbookViewId="0">
      <selection activeCell="AD35" sqref="AD35"/>
    </sheetView>
  </sheetViews>
  <sheetFormatPr defaultRowHeight="14.5" x14ac:dyDescent="0.35"/>
  <cols>
    <col min="18" max="18" width="24.36328125" bestFit="1" customWidth="1"/>
    <col min="27" max="27" width="25" customWidth="1"/>
  </cols>
  <sheetData>
    <row r="10" spans="28:28" x14ac:dyDescent="0.35">
      <c r="AB10" s="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51"/>
  <sheetViews>
    <sheetView zoomScale="85" workbookViewId="0">
      <selection activeCell="C16" sqref="C16"/>
    </sheetView>
  </sheetViews>
  <sheetFormatPr defaultColWidth="21.36328125" defaultRowHeight="14.5" x14ac:dyDescent="0.35"/>
  <cols>
    <col min="14" max="14" width="20.1796875" bestFit="1" customWidth="1"/>
    <col min="15" max="15" width="12.453125" bestFit="1" customWidth="1"/>
    <col min="17" max="17" width="18.7265625" bestFit="1" customWidth="1"/>
    <col min="18" max="18" width="27.36328125" bestFit="1" customWidth="1"/>
    <col min="19" max="22" width="4.1796875" bestFit="1" customWidth="1"/>
    <col min="23" max="23" width="10.81640625" bestFit="1" customWidth="1"/>
    <col min="24" max="28" width="3.08984375" bestFit="1" customWidth="1"/>
    <col min="29" max="29" width="10.81640625" bestFit="1" customWidth="1"/>
  </cols>
  <sheetData>
    <row r="1" spans="1:18" x14ac:dyDescent="0.35">
      <c r="A1" s="16" t="s">
        <v>20</v>
      </c>
      <c r="B1" s="16" t="s">
        <v>21</v>
      </c>
      <c r="C1" s="16" t="s">
        <v>22</v>
      </c>
      <c r="D1" s="16" t="s">
        <v>23</v>
      </c>
      <c r="E1" s="16" t="s">
        <v>24</v>
      </c>
      <c r="F1" s="16" t="s">
        <v>25</v>
      </c>
      <c r="G1" s="16" t="s">
        <v>26</v>
      </c>
      <c r="H1" s="19"/>
      <c r="I1" s="19"/>
    </row>
    <row r="2" spans="1:18" x14ac:dyDescent="0.35">
      <c r="A2">
        <v>1</v>
      </c>
      <c r="B2" s="12">
        <v>56</v>
      </c>
      <c r="C2" t="s">
        <v>27</v>
      </c>
      <c r="D2" t="s">
        <v>30</v>
      </c>
      <c r="E2" t="s">
        <v>34</v>
      </c>
      <c r="F2" s="12">
        <v>1</v>
      </c>
      <c r="G2" s="12">
        <v>6</v>
      </c>
      <c r="H2" s="12"/>
      <c r="I2" s="12"/>
      <c r="J2" t="s">
        <v>108</v>
      </c>
      <c r="K2">
        <f>COUNTIF(G2:G151,"&gt;=9")</f>
        <v>25</v>
      </c>
      <c r="L2" t="str">
        <f ca="1">_xlfn.FORMULATEXT(K2)</f>
        <v>=COUNTIF(G2:G151,"&gt;=9")</v>
      </c>
    </row>
    <row r="3" spans="1:18" x14ac:dyDescent="0.35">
      <c r="A3">
        <v>2</v>
      </c>
      <c r="B3" s="12">
        <v>20</v>
      </c>
      <c r="C3" t="s">
        <v>27</v>
      </c>
      <c r="D3" t="s">
        <v>31</v>
      </c>
      <c r="E3" t="s">
        <v>34</v>
      </c>
      <c r="F3" s="12">
        <v>1</v>
      </c>
      <c r="G3" s="12">
        <v>2</v>
      </c>
      <c r="H3" s="12"/>
      <c r="I3" s="12"/>
      <c r="J3" t="s">
        <v>109</v>
      </c>
      <c r="K3">
        <f>COUNTIFS(G:G,"&gt;=7",G:G,"&lt;=8")</f>
        <v>25</v>
      </c>
      <c r="L3" t="str">
        <f ca="1">_xlfn.FORMULATEXT(K3)</f>
        <v>=COUNTIFS(G:G,"&gt;=7",G:G,"&lt;=8")</v>
      </c>
      <c r="N3" s="11" t="s">
        <v>22</v>
      </c>
      <c r="O3" t="s">
        <v>113</v>
      </c>
      <c r="Q3" s="11" t="s">
        <v>114</v>
      </c>
      <c r="R3" t="s">
        <v>115</v>
      </c>
    </row>
    <row r="4" spans="1:18" x14ac:dyDescent="0.35">
      <c r="A4">
        <v>3</v>
      </c>
      <c r="B4" s="12">
        <v>49</v>
      </c>
      <c r="C4" t="s">
        <v>28</v>
      </c>
      <c r="D4" t="s">
        <v>30</v>
      </c>
      <c r="E4" t="s">
        <v>35</v>
      </c>
      <c r="F4" s="12">
        <v>1</v>
      </c>
      <c r="G4" s="12">
        <v>5</v>
      </c>
      <c r="H4" s="12"/>
      <c r="I4" s="12"/>
      <c r="J4" t="s">
        <v>110</v>
      </c>
      <c r="K4">
        <f xml:space="preserve"> COUNTIF(G:G,"&lt;=6")</f>
        <v>100</v>
      </c>
      <c r="L4" t="str">
        <f ca="1">_xlfn.FORMULATEXT(K4)</f>
        <v>= COUNTIF(G:G,"&lt;=6")</v>
      </c>
      <c r="N4" s="1" t="s">
        <v>27</v>
      </c>
      <c r="O4">
        <v>48</v>
      </c>
      <c r="Q4" s="3">
        <v>1</v>
      </c>
      <c r="R4">
        <v>26</v>
      </c>
    </row>
    <row r="5" spans="1:18" x14ac:dyDescent="0.35">
      <c r="A5">
        <v>4</v>
      </c>
      <c r="B5" s="12">
        <v>27</v>
      </c>
      <c r="C5" t="s">
        <v>28</v>
      </c>
      <c r="D5" t="s">
        <v>30</v>
      </c>
      <c r="E5" t="s">
        <v>35</v>
      </c>
      <c r="F5" s="12">
        <v>2</v>
      </c>
      <c r="G5" s="12">
        <v>4</v>
      </c>
      <c r="H5" s="12"/>
      <c r="I5" s="12"/>
      <c r="J5" t="s">
        <v>111</v>
      </c>
      <c r="K5" t="s">
        <v>112</v>
      </c>
      <c r="N5" s="20" t="s">
        <v>31</v>
      </c>
      <c r="O5">
        <v>14</v>
      </c>
      <c r="Q5" s="3">
        <v>2</v>
      </c>
      <c r="R5">
        <v>30</v>
      </c>
    </row>
    <row r="6" spans="1:18" x14ac:dyDescent="0.35">
      <c r="A6">
        <v>5</v>
      </c>
      <c r="B6" s="12">
        <v>27</v>
      </c>
      <c r="C6" t="s">
        <v>28</v>
      </c>
      <c r="D6" t="s">
        <v>32</v>
      </c>
      <c r="E6" t="s">
        <v>35</v>
      </c>
      <c r="F6" s="12">
        <v>4</v>
      </c>
      <c r="G6" s="12">
        <v>4</v>
      </c>
      <c r="H6" s="12"/>
      <c r="I6" s="12"/>
      <c r="K6" s="18">
        <f>($K$2-$K$4)/125</f>
        <v>-0.6</v>
      </c>
      <c r="N6" s="20" t="s">
        <v>33</v>
      </c>
      <c r="O6">
        <v>9</v>
      </c>
      <c r="Q6" s="3">
        <v>3</v>
      </c>
      <c r="R6">
        <v>24</v>
      </c>
    </row>
    <row r="7" spans="1:18" x14ac:dyDescent="0.35">
      <c r="A7">
        <v>6</v>
      </c>
      <c r="B7" s="12">
        <v>36</v>
      </c>
      <c r="C7" t="s">
        <v>28</v>
      </c>
      <c r="D7" t="s">
        <v>32</v>
      </c>
      <c r="E7" t="s">
        <v>34</v>
      </c>
      <c r="F7" s="12">
        <v>2</v>
      </c>
      <c r="G7" s="12">
        <v>10</v>
      </c>
      <c r="H7" s="12"/>
      <c r="I7" s="12"/>
      <c r="N7" s="20" t="s">
        <v>32</v>
      </c>
      <c r="O7">
        <v>8</v>
      </c>
      <c r="Q7" s="3">
        <v>4</v>
      </c>
      <c r="R7">
        <v>40</v>
      </c>
    </row>
    <row r="8" spans="1:18" x14ac:dyDescent="0.35">
      <c r="A8">
        <v>7</v>
      </c>
      <c r="B8" s="12">
        <v>51</v>
      </c>
      <c r="C8" t="s">
        <v>28</v>
      </c>
      <c r="D8" t="s">
        <v>32</v>
      </c>
      <c r="E8" t="s">
        <v>35</v>
      </c>
      <c r="F8" s="12">
        <v>4</v>
      </c>
      <c r="G8" s="12">
        <v>4</v>
      </c>
      <c r="H8" s="12"/>
      <c r="I8" s="12"/>
      <c r="N8" s="20" t="s">
        <v>30</v>
      </c>
      <c r="O8">
        <v>17</v>
      </c>
      <c r="Q8" s="3">
        <v>5</v>
      </c>
      <c r="R8">
        <v>30</v>
      </c>
    </row>
    <row r="9" spans="1:18" x14ac:dyDescent="0.35">
      <c r="A9">
        <v>8</v>
      </c>
      <c r="B9" s="12">
        <v>50</v>
      </c>
      <c r="C9" t="s">
        <v>28</v>
      </c>
      <c r="D9" t="s">
        <v>31</v>
      </c>
      <c r="E9" t="s">
        <v>34</v>
      </c>
      <c r="F9" s="12">
        <v>4</v>
      </c>
      <c r="G9" s="12">
        <v>0</v>
      </c>
      <c r="H9" s="12"/>
      <c r="I9" s="12"/>
      <c r="N9" s="1" t="s">
        <v>28</v>
      </c>
      <c r="O9">
        <v>53</v>
      </c>
      <c r="Q9" s="3" t="s">
        <v>92</v>
      </c>
      <c r="R9">
        <v>150</v>
      </c>
    </row>
    <row r="10" spans="1:18" x14ac:dyDescent="0.35">
      <c r="A10">
        <v>9</v>
      </c>
      <c r="B10" s="12">
        <v>40</v>
      </c>
      <c r="C10" t="s">
        <v>28</v>
      </c>
      <c r="D10" t="s">
        <v>33</v>
      </c>
      <c r="E10" t="s">
        <v>34</v>
      </c>
      <c r="F10" s="12">
        <v>3</v>
      </c>
      <c r="G10" s="12">
        <v>0</v>
      </c>
      <c r="H10" s="12"/>
      <c r="I10" s="12"/>
      <c r="J10" t="s">
        <v>104</v>
      </c>
      <c r="N10" s="20" t="s">
        <v>31</v>
      </c>
      <c r="O10">
        <v>9</v>
      </c>
    </row>
    <row r="11" spans="1:18" x14ac:dyDescent="0.35">
      <c r="A11">
        <v>10</v>
      </c>
      <c r="B11" s="12">
        <v>45</v>
      </c>
      <c r="C11" t="s">
        <v>29</v>
      </c>
      <c r="D11" t="s">
        <v>30</v>
      </c>
      <c r="E11" t="s">
        <v>35</v>
      </c>
      <c r="F11" s="12">
        <v>3</v>
      </c>
      <c r="G11" s="12">
        <v>2</v>
      </c>
      <c r="H11" s="12"/>
      <c r="I11" s="12"/>
      <c r="J11" s="18">
        <f>COUNTIF(E2:E151,"Yes")/COUNTA(E2:E151)</f>
        <v>0.70666666666666667</v>
      </c>
      <c r="K11" t="s">
        <v>105</v>
      </c>
      <c r="N11" s="20" t="s">
        <v>33</v>
      </c>
      <c r="O11">
        <v>12</v>
      </c>
    </row>
    <row r="12" spans="1:18" x14ac:dyDescent="0.35">
      <c r="A12">
        <v>11</v>
      </c>
      <c r="B12" s="12">
        <v>49</v>
      </c>
      <c r="C12" t="s">
        <v>27</v>
      </c>
      <c r="D12" t="s">
        <v>30</v>
      </c>
      <c r="E12" t="s">
        <v>34</v>
      </c>
      <c r="F12" s="12">
        <v>4</v>
      </c>
      <c r="G12" s="12">
        <v>9</v>
      </c>
      <c r="H12" s="12"/>
      <c r="I12" s="12"/>
      <c r="N12" s="20" t="s">
        <v>32</v>
      </c>
      <c r="O12">
        <v>16</v>
      </c>
    </row>
    <row r="13" spans="1:18" x14ac:dyDescent="0.35">
      <c r="A13">
        <v>12</v>
      </c>
      <c r="B13" s="12">
        <v>24</v>
      </c>
      <c r="C13" t="s">
        <v>28</v>
      </c>
      <c r="D13" t="s">
        <v>30</v>
      </c>
      <c r="E13" t="s">
        <v>35</v>
      </c>
      <c r="F13" s="12">
        <v>4</v>
      </c>
      <c r="G13" s="12">
        <v>3</v>
      </c>
      <c r="H13" s="12"/>
      <c r="I13" s="12"/>
      <c r="N13" s="20" t="s">
        <v>30</v>
      </c>
      <c r="O13">
        <v>16</v>
      </c>
    </row>
    <row r="14" spans="1:18" x14ac:dyDescent="0.35">
      <c r="A14">
        <v>13</v>
      </c>
      <c r="B14" s="12">
        <v>46</v>
      </c>
      <c r="C14" t="s">
        <v>29</v>
      </c>
      <c r="D14" t="s">
        <v>31</v>
      </c>
      <c r="E14" t="s">
        <v>35</v>
      </c>
      <c r="F14" s="12">
        <v>2</v>
      </c>
      <c r="G14" s="12">
        <v>4</v>
      </c>
      <c r="H14" s="12"/>
      <c r="I14" s="12"/>
      <c r="N14" s="1" t="s">
        <v>29</v>
      </c>
      <c r="O14">
        <v>49</v>
      </c>
    </row>
    <row r="15" spans="1:18" x14ac:dyDescent="0.35">
      <c r="A15">
        <v>14</v>
      </c>
      <c r="B15" s="12">
        <v>25</v>
      </c>
      <c r="C15" t="s">
        <v>29</v>
      </c>
      <c r="D15" t="s">
        <v>32</v>
      </c>
      <c r="E15" t="s">
        <v>34</v>
      </c>
      <c r="F15" s="12">
        <v>2</v>
      </c>
      <c r="G15" s="12">
        <v>1</v>
      </c>
      <c r="H15" s="12"/>
      <c r="I15" s="12"/>
      <c r="N15" s="20" t="s">
        <v>31</v>
      </c>
      <c r="O15">
        <v>12</v>
      </c>
    </row>
    <row r="16" spans="1:18" x14ac:dyDescent="0.35">
      <c r="A16">
        <v>15</v>
      </c>
      <c r="B16" s="12">
        <v>18</v>
      </c>
      <c r="C16" t="s">
        <v>29</v>
      </c>
      <c r="D16" t="s">
        <v>33</v>
      </c>
      <c r="E16" t="s">
        <v>35</v>
      </c>
      <c r="F16" s="12">
        <v>3</v>
      </c>
      <c r="G16" s="12">
        <v>7</v>
      </c>
      <c r="H16" s="12"/>
      <c r="I16" s="12"/>
      <c r="N16" s="20" t="s">
        <v>33</v>
      </c>
      <c r="O16">
        <v>12</v>
      </c>
    </row>
    <row r="17" spans="1:15" x14ac:dyDescent="0.35">
      <c r="A17">
        <v>16</v>
      </c>
      <c r="B17" s="12">
        <v>20</v>
      </c>
      <c r="C17" t="s">
        <v>27</v>
      </c>
      <c r="D17" t="s">
        <v>31</v>
      </c>
      <c r="E17" t="s">
        <v>34</v>
      </c>
      <c r="F17" s="12">
        <v>1</v>
      </c>
      <c r="G17" s="12">
        <v>10</v>
      </c>
      <c r="H17" s="12"/>
      <c r="I17" s="12"/>
      <c r="N17" s="20" t="s">
        <v>32</v>
      </c>
      <c r="O17">
        <v>13</v>
      </c>
    </row>
    <row r="18" spans="1:15" x14ac:dyDescent="0.35">
      <c r="A18">
        <v>17</v>
      </c>
      <c r="B18" s="12">
        <v>41</v>
      </c>
      <c r="C18" t="s">
        <v>28</v>
      </c>
      <c r="D18" t="s">
        <v>32</v>
      </c>
      <c r="E18" t="s">
        <v>34</v>
      </c>
      <c r="F18" s="12">
        <v>4</v>
      </c>
      <c r="G18" s="12">
        <v>10</v>
      </c>
      <c r="H18" s="12"/>
      <c r="I18" s="12"/>
      <c r="N18" s="20" t="s">
        <v>30</v>
      </c>
      <c r="O18">
        <v>12</v>
      </c>
    </row>
    <row r="19" spans="1:15" x14ac:dyDescent="0.35">
      <c r="A19">
        <v>18</v>
      </c>
      <c r="B19" s="12">
        <v>40</v>
      </c>
      <c r="C19" t="s">
        <v>29</v>
      </c>
      <c r="D19" t="s">
        <v>31</v>
      </c>
      <c r="E19" t="s">
        <v>35</v>
      </c>
      <c r="F19" s="12">
        <v>2</v>
      </c>
      <c r="G19" s="12">
        <v>1</v>
      </c>
      <c r="H19" s="12"/>
      <c r="I19" s="12"/>
      <c r="N19" s="1" t="s">
        <v>92</v>
      </c>
      <c r="O19">
        <v>150</v>
      </c>
    </row>
    <row r="20" spans="1:15" x14ac:dyDescent="0.35">
      <c r="A20">
        <v>19</v>
      </c>
      <c r="B20" s="12">
        <v>25</v>
      </c>
      <c r="C20" t="s">
        <v>27</v>
      </c>
      <c r="D20" t="s">
        <v>33</v>
      </c>
      <c r="E20" t="s">
        <v>35</v>
      </c>
      <c r="F20" s="12">
        <v>3</v>
      </c>
      <c r="G20" s="12">
        <v>8</v>
      </c>
      <c r="H20" s="12"/>
      <c r="I20" s="12"/>
    </row>
    <row r="21" spans="1:15" x14ac:dyDescent="0.35">
      <c r="A21">
        <v>20</v>
      </c>
      <c r="B21" s="12">
        <v>54</v>
      </c>
      <c r="C21" t="s">
        <v>27</v>
      </c>
      <c r="D21" t="s">
        <v>32</v>
      </c>
      <c r="E21" t="s">
        <v>35</v>
      </c>
      <c r="F21" s="12">
        <v>2</v>
      </c>
      <c r="G21" s="12">
        <v>1</v>
      </c>
      <c r="H21" s="12"/>
      <c r="I21" s="12"/>
    </row>
    <row r="22" spans="1:15" x14ac:dyDescent="0.35">
      <c r="A22">
        <v>21</v>
      </c>
      <c r="B22" s="12">
        <v>20</v>
      </c>
      <c r="C22" t="s">
        <v>27</v>
      </c>
      <c r="D22" t="s">
        <v>31</v>
      </c>
      <c r="E22" t="s">
        <v>35</v>
      </c>
      <c r="F22" s="12">
        <v>4</v>
      </c>
      <c r="G22" s="12">
        <v>8</v>
      </c>
      <c r="H22" s="12"/>
      <c r="I22" s="12"/>
      <c r="N22" s="11" t="s">
        <v>24</v>
      </c>
      <c r="O22" t="s">
        <v>116</v>
      </c>
    </row>
    <row r="23" spans="1:15" x14ac:dyDescent="0.35">
      <c r="A23">
        <v>22</v>
      </c>
      <c r="B23" s="12">
        <v>50</v>
      </c>
      <c r="C23" t="s">
        <v>29</v>
      </c>
      <c r="D23" t="s">
        <v>33</v>
      </c>
      <c r="E23" t="s">
        <v>34</v>
      </c>
      <c r="F23" s="12">
        <v>4</v>
      </c>
      <c r="G23" s="12">
        <v>6</v>
      </c>
      <c r="H23" s="12"/>
      <c r="I23" s="12"/>
      <c r="N23" s="1" t="s">
        <v>34</v>
      </c>
      <c r="O23">
        <v>44</v>
      </c>
    </row>
    <row r="24" spans="1:15" x14ac:dyDescent="0.35">
      <c r="A24">
        <v>23</v>
      </c>
      <c r="B24" s="12">
        <v>45</v>
      </c>
      <c r="C24" t="s">
        <v>28</v>
      </c>
      <c r="D24" t="s">
        <v>30</v>
      </c>
      <c r="E24" t="s">
        <v>35</v>
      </c>
      <c r="F24" s="12">
        <v>5</v>
      </c>
      <c r="G24" s="12">
        <v>7</v>
      </c>
      <c r="H24" s="12"/>
      <c r="I24" s="12"/>
      <c r="N24" s="1" t="s">
        <v>35</v>
      </c>
      <c r="O24">
        <v>106</v>
      </c>
    </row>
    <row r="25" spans="1:15" x14ac:dyDescent="0.35">
      <c r="A25">
        <v>24</v>
      </c>
      <c r="B25" s="12">
        <v>25</v>
      </c>
      <c r="C25" t="s">
        <v>29</v>
      </c>
      <c r="D25" t="s">
        <v>33</v>
      </c>
      <c r="E25" t="s">
        <v>35</v>
      </c>
      <c r="F25" s="12">
        <v>1</v>
      </c>
      <c r="G25" s="12">
        <v>10</v>
      </c>
      <c r="H25" s="12"/>
      <c r="I25" s="12"/>
      <c r="N25" s="1" t="s">
        <v>92</v>
      </c>
      <c r="O25">
        <v>150</v>
      </c>
    </row>
    <row r="26" spans="1:15" x14ac:dyDescent="0.35">
      <c r="A26">
        <v>25</v>
      </c>
      <c r="B26" s="12">
        <v>51</v>
      </c>
      <c r="C26" t="s">
        <v>29</v>
      </c>
      <c r="D26" t="s">
        <v>30</v>
      </c>
      <c r="E26" t="s">
        <v>35</v>
      </c>
      <c r="F26" s="12">
        <v>5</v>
      </c>
      <c r="G26" s="12">
        <v>1</v>
      </c>
      <c r="H26" s="12"/>
      <c r="I26" s="12"/>
      <c r="J26" s="12">
        <f>AVERAGE(F2:F151)</f>
        <v>3.12</v>
      </c>
      <c r="K26" t="str">
        <f ca="1">_xlfn.FORMULATEXT(J26)</f>
        <v>=AVERAGE(F2:F151)</v>
      </c>
      <c r="L26" t="s">
        <v>106</v>
      </c>
    </row>
    <row r="27" spans="1:15" x14ac:dyDescent="0.35">
      <c r="A27">
        <v>26</v>
      </c>
      <c r="B27" s="12">
        <v>52</v>
      </c>
      <c r="C27" t="s">
        <v>28</v>
      </c>
      <c r="D27" t="s">
        <v>31</v>
      </c>
      <c r="E27" t="s">
        <v>35</v>
      </c>
      <c r="F27" s="12">
        <v>3</v>
      </c>
      <c r="G27" s="12">
        <v>6</v>
      </c>
      <c r="H27" s="12"/>
      <c r="I27" s="12"/>
    </row>
    <row r="28" spans="1:15" x14ac:dyDescent="0.35">
      <c r="A28">
        <v>27</v>
      </c>
      <c r="B28" s="12">
        <v>49</v>
      </c>
      <c r="C28" t="s">
        <v>28</v>
      </c>
      <c r="D28" t="s">
        <v>32</v>
      </c>
      <c r="E28" t="s">
        <v>34</v>
      </c>
      <c r="F28" s="12">
        <v>2</v>
      </c>
      <c r="G28" s="12">
        <v>5</v>
      </c>
      <c r="H28" s="12"/>
      <c r="I28" s="12"/>
    </row>
    <row r="29" spans="1:15" x14ac:dyDescent="0.35">
      <c r="A29">
        <v>28</v>
      </c>
      <c r="B29" s="12">
        <v>41</v>
      </c>
      <c r="C29" t="s">
        <v>28</v>
      </c>
      <c r="D29" t="s">
        <v>32</v>
      </c>
      <c r="E29" t="s">
        <v>35</v>
      </c>
      <c r="F29" s="12">
        <v>3</v>
      </c>
      <c r="G29" s="12">
        <v>3</v>
      </c>
      <c r="H29" s="12"/>
      <c r="I29" s="12"/>
    </row>
    <row r="30" spans="1:15" x14ac:dyDescent="0.35">
      <c r="A30">
        <v>29</v>
      </c>
      <c r="B30" s="12">
        <v>31</v>
      </c>
      <c r="C30" t="s">
        <v>27</v>
      </c>
      <c r="D30" t="s">
        <v>31</v>
      </c>
      <c r="E30" t="s">
        <v>34</v>
      </c>
      <c r="F30" s="12">
        <v>4</v>
      </c>
      <c r="G30" s="12">
        <v>6</v>
      </c>
      <c r="H30" s="12"/>
      <c r="I30" s="12"/>
    </row>
    <row r="31" spans="1:15" x14ac:dyDescent="0.35">
      <c r="A31">
        <v>30</v>
      </c>
      <c r="B31" s="12">
        <v>49</v>
      </c>
      <c r="C31" t="s">
        <v>28</v>
      </c>
      <c r="D31" t="s">
        <v>32</v>
      </c>
      <c r="E31" t="s">
        <v>35</v>
      </c>
      <c r="F31" s="12">
        <v>5</v>
      </c>
      <c r="G31" s="12">
        <v>3</v>
      </c>
      <c r="H31" s="12"/>
      <c r="I31" s="12"/>
    </row>
    <row r="32" spans="1:15" x14ac:dyDescent="0.35">
      <c r="A32">
        <v>31</v>
      </c>
      <c r="B32" s="12">
        <v>60</v>
      </c>
      <c r="C32" t="s">
        <v>29</v>
      </c>
      <c r="D32" t="s">
        <v>32</v>
      </c>
      <c r="E32" t="s">
        <v>34</v>
      </c>
      <c r="F32" s="12">
        <v>5</v>
      </c>
      <c r="G32" s="12">
        <v>1</v>
      </c>
      <c r="H32" s="12"/>
      <c r="I32" s="12"/>
    </row>
    <row r="33" spans="1:12" x14ac:dyDescent="0.35">
      <c r="A33">
        <v>32</v>
      </c>
      <c r="B33" s="12">
        <v>33</v>
      </c>
      <c r="C33" t="s">
        <v>28</v>
      </c>
      <c r="D33" t="s">
        <v>30</v>
      </c>
      <c r="E33" t="s">
        <v>35</v>
      </c>
      <c r="F33" s="12">
        <v>5</v>
      </c>
      <c r="G33" s="12">
        <v>9</v>
      </c>
      <c r="H33" s="12"/>
      <c r="I33" s="12"/>
    </row>
    <row r="34" spans="1:12" x14ac:dyDescent="0.35">
      <c r="A34">
        <v>33</v>
      </c>
      <c r="B34" s="12">
        <v>21</v>
      </c>
      <c r="C34" t="s">
        <v>29</v>
      </c>
      <c r="D34" t="s">
        <v>31</v>
      </c>
      <c r="E34" t="s">
        <v>35</v>
      </c>
      <c r="F34" s="12">
        <v>3</v>
      </c>
      <c r="G34" s="12">
        <v>6</v>
      </c>
      <c r="H34" s="12"/>
      <c r="I34" s="12"/>
    </row>
    <row r="35" spans="1:12" x14ac:dyDescent="0.35">
      <c r="A35">
        <v>34</v>
      </c>
      <c r="B35" s="12">
        <v>54</v>
      </c>
      <c r="C35" t="s">
        <v>27</v>
      </c>
      <c r="D35" t="s">
        <v>33</v>
      </c>
      <c r="E35" t="s">
        <v>34</v>
      </c>
      <c r="F35" s="12">
        <v>4</v>
      </c>
      <c r="G35" s="12">
        <v>7</v>
      </c>
      <c r="H35" s="12"/>
      <c r="I35" s="12"/>
    </row>
    <row r="36" spans="1:12" x14ac:dyDescent="0.35">
      <c r="A36">
        <v>35</v>
      </c>
      <c r="B36" s="12">
        <v>38</v>
      </c>
      <c r="C36" t="s">
        <v>29</v>
      </c>
      <c r="D36" t="s">
        <v>30</v>
      </c>
      <c r="E36" t="s">
        <v>35</v>
      </c>
      <c r="F36" s="12">
        <v>2</v>
      </c>
      <c r="G36" s="12">
        <v>1</v>
      </c>
      <c r="H36" s="12"/>
      <c r="I36" s="12"/>
    </row>
    <row r="37" spans="1:12" x14ac:dyDescent="0.35">
      <c r="A37">
        <v>36</v>
      </c>
      <c r="B37" s="12">
        <v>31</v>
      </c>
      <c r="C37" t="s">
        <v>29</v>
      </c>
      <c r="D37" t="s">
        <v>31</v>
      </c>
      <c r="E37" t="s">
        <v>34</v>
      </c>
      <c r="F37" s="12">
        <v>2</v>
      </c>
      <c r="G37" s="12">
        <v>4</v>
      </c>
      <c r="H37" s="12"/>
      <c r="I37" s="12"/>
    </row>
    <row r="38" spans="1:12" x14ac:dyDescent="0.35">
      <c r="A38">
        <v>37</v>
      </c>
      <c r="B38" s="12">
        <v>48</v>
      </c>
      <c r="C38" t="s">
        <v>28</v>
      </c>
      <c r="D38" t="s">
        <v>30</v>
      </c>
      <c r="E38" t="s">
        <v>35</v>
      </c>
      <c r="F38" s="12">
        <v>3</v>
      </c>
      <c r="G38" s="12">
        <v>0</v>
      </c>
      <c r="H38" s="12"/>
      <c r="I38" s="12"/>
    </row>
    <row r="39" spans="1:12" x14ac:dyDescent="0.35">
      <c r="A39">
        <v>38</v>
      </c>
      <c r="B39" s="12">
        <v>35</v>
      </c>
      <c r="C39" t="s">
        <v>28</v>
      </c>
      <c r="D39" t="s">
        <v>33</v>
      </c>
      <c r="E39" t="s">
        <v>35</v>
      </c>
      <c r="F39" s="12">
        <v>5</v>
      </c>
      <c r="G39" s="12">
        <v>6</v>
      </c>
      <c r="H39" s="12"/>
      <c r="I39" s="12"/>
      <c r="J39" s="17">
        <f>AVERAGE(G:G)</f>
        <v>4.833333333333333</v>
      </c>
      <c r="K39" t="str">
        <f ca="1">_xlfn.FORMULATEXT(J39)</f>
        <v>=AVERAGE(G:G)</v>
      </c>
      <c r="L39" t="s">
        <v>107</v>
      </c>
    </row>
    <row r="40" spans="1:12" x14ac:dyDescent="0.35">
      <c r="A40">
        <v>39</v>
      </c>
      <c r="B40" s="12">
        <v>24</v>
      </c>
      <c r="C40" t="s">
        <v>29</v>
      </c>
      <c r="D40" t="s">
        <v>33</v>
      </c>
      <c r="E40" t="s">
        <v>35</v>
      </c>
      <c r="F40" s="12">
        <v>1</v>
      </c>
      <c r="G40" s="12">
        <v>7</v>
      </c>
      <c r="H40" s="12"/>
      <c r="I40" s="12"/>
    </row>
    <row r="41" spans="1:12" x14ac:dyDescent="0.35">
      <c r="A41">
        <v>40</v>
      </c>
      <c r="B41" s="12">
        <v>27</v>
      </c>
      <c r="C41" t="s">
        <v>28</v>
      </c>
      <c r="D41" t="s">
        <v>31</v>
      </c>
      <c r="E41" t="s">
        <v>34</v>
      </c>
      <c r="F41" s="12">
        <v>3</v>
      </c>
      <c r="G41" s="12">
        <v>5</v>
      </c>
      <c r="H41" s="12"/>
      <c r="I41" s="12"/>
    </row>
    <row r="42" spans="1:12" x14ac:dyDescent="0.35">
      <c r="A42">
        <v>41</v>
      </c>
      <c r="B42" s="12">
        <v>24</v>
      </c>
      <c r="C42" t="s">
        <v>27</v>
      </c>
      <c r="D42" t="s">
        <v>33</v>
      </c>
      <c r="E42" t="s">
        <v>35</v>
      </c>
      <c r="F42" s="12">
        <v>3</v>
      </c>
      <c r="G42" s="12">
        <v>4</v>
      </c>
      <c r="H42" s="12"/>
      <c r="I42" s="12"/>
    </row>
    <row r="43" spans="1:12" x14ac:dyDescent="0.35">
      <c r="A43">
        <v>42</v>
      </c>
      <c r="B43" s="12">
        <v>50</v>
      </c>
      <c r="C43" t="s">
        <v>27</v>
      </c>
      <c r="D43" t="s">
        <v>30</v>
      </c>
      <c r="E43" t="s">
        <v>35</v>
      </c>
      <c r="F43" s="12">
        <v>4</v>
      </c>
      <c r="G43" s="12">
        <v>5</v>
      </c>
      <c r="H43" s="12"/>
      <c r="I43" s="12"/>
    </row>
    <row r="44" spans="1:12" x14ac:dyDescent="0.35">
      <c r="A44">
        <v>43</v>
      </c>
      <c r="B44" s="12">
        <v>40</v>
      </c>
      <c r="C44" t="s">
        <v>28</v>
      </c>
      <c r="D44" t="s">
        <v>33</v>
      </c>
      <c r="E44" t="s">
        <v>35</v>
      </c>
      <c r="F44" s="12">
        <v>2</v>
      </c>
      <c r="G44" s="12">
        <v>1</v>
      </c>
      <c r="H44" s="12"/>
      <c r="I44" s="12"/>
    </row>
    <row r="45" spans="1:12" x14ac:dyDescent="0.35">
      <c r="A45">
        <v>44</v>
      </c>
      <c r="B45" s="12">
        <v>38</v>
      </c>
      <c r="C45" t="s">
        <v>27</v>
      </c>
      <c r="D45" t="s">
        <v>30</v>
      </c>
      <c r="E45" t="s">
        <v>35</v>
      </c>
      <c r="F45" s="12">
        <v>3</v>
      </c>
      <c r="G45" s="12">
        <v>0</v>
      </c>
      <c r="H45" s="12"/>
      <c r="I45" s="12"/>
    </row>
    <row r="46" spans="1:12" x14ac:dyDescent="0.35">
      <c r="A46">
        <v>45</v>
      </c>
      <c r="B46" s="12">
        <v>36</v>
      </c>
      <c r="C46" t="s">
        <v>28</v>
      </c>
      <c r="D46" t="s">
        <v>30</v>
      </c>
      <c r="E46" t="s">
        <v>35</v>
      </c>
      <c r="F46" s="12">
        <v>3</v>
      </c>
      <c r="G46" s="12">
        <v>6</v>
      </c>
      <c r="H46" s="12"/>
      <c r="I46" s="12"/>
    </row>
    <row r="47" spans="1:12" x14ac:dyDescent="0.35">
      <c r="A47">
        <v>46</v>
      </c>
      <c r="B47" s="12">
        <v>36</v>
      </c>
      <c r="C47" t="s">
        <v>29</v>
      </c>
      <c r="D47" t="s">
        <v>33</v>
      </c>
      <c r="E47" t="s">
        <v>34</v>
      </c>
      <c r="F47" s="12">
        <v>5</v>
      </c>
      <c r="G47" s="12">
        <v>6</v>
      </c>
      <c r="H47" s="12"/>
      <c r="I47" s="12"/>
    </row>
    <row r="48" spans="1:12" x14ac:dyDescent="0.35">
      <c r="A48">
        <v>47</v>
      </c>
      <c r="B48" s="12">
        <v>53</v>
      </c>
      <c r="C48" t="s">
        <v>29</v>
      </c>
      <c r="D48" t="s">
        <v>31</v>
      </c>
      <c r="E48" t="s">
        <v>34</v>
      </c>
      <c r="F48" s="12">
        <v>5</v>
      </c>
      <c r="G48" s="12">
        <v>9</v>
      </c>
      <c r="H48" s="12"/>
      <c r="I48" s="12"/>
    </row>
    <row r="49" spans="1:9" x14ac:dyDescent="0.35">
      <c r="A49">
        <v>48</v>
      </c>
      <c r="B49" s="12">
        <v>46</v>
      </c>
      <c r="C49" t="s">
        <v>27</v>
      </c>
      <c r="D49" t="s">
        <v>32</v>
      </c>
      <c r="E49" t="s">
        <v>34</v>
      </c>
      <c r="F49" s="12">
        <v>1</v>
      </c>
      <c r="G49" s="12">
        <v>10</v>
      </c>
      <c r="H49" s="12"/>
      <c r="I49" s="12"/>
    </row>
    <row r="50" spans="1:9" x14ac:dyDescent="0.35">
      <c r="A50">
        <v>49</v>
      </c>
      <c r="B50" s="12">
        <v>35</v>
      </c>
      <c r="C50" t="s">
        <v>28</v>
      </c>
      <c r="D50" t="s">
        <v>33</v>
      </c>
      <c r="E50" t="s">
        <v>34</v>
      </c>
      <c r="F50" s="12">
        <v>4</v>
      </c>
      <c r="G50" s="12">
        <v>9</v>
      </c>
      <c r="H50" s="12"/>
      <c r="I50" s="12"/>
    </row>
    <row r="51" spans="1:9" x14ac:dyDescent="0.35">
      <c r="A51">
        <v>50</v>
      </c>
      <c r="B51" s="12">
        <v>19</v>
      </c>
      <c r="C51" t="s">
        <v>28</v>
      </c>
      <c r="D51" t="s">
        <v>30</v>
      </c>
      <c r="E51" t="s">
        <v>35</v>
      </c>
      <c r="F51" s="12">
        <v>1</v>
      </c>
      <c r="G51" s="12">
        <v>1</v>
      </c>
      <c r="H51" s="12"/>
      <c r="I51" s="12"/>
    </row>
    <row r="52" spans="1:9" x14ac:dyDescent="0.35">
      <c r="A52">
        <v>51</v>
      </c>
      <c r="B52" s="12">
        <v>18</v>
      </c>
      <c r="C52" t="s">
        <v>27</v>
      </c>
      <c r="D52" t="s">
        <v>30</v>
      </c>
      <c r="E52" t="s">
        <v>34</v>
      </c>
      <c r="F52" s="12">
        <v>5</v>
      </c>
      <c r="G52" s="12">
        <v>1</v>
      </c>
      <c r="H52" s="12"/>
      <c r="I52" s="12"/>
    </row>
    <row r="53" spans="1:9" x14ac:dyDescent="0.35">
      <c r="A53">
        <v>52</v>
      </c>
      <c r="B53" s="12">
        <v>22</v>
      </c>
      <c r="C53" t="s">
        <v>29</v>
      </c>
      <c r="D53" t="s">
        <v>33</v>
      </c>
      <c r="E53" t="s">
        <v>35</v>
      </c>
      <c r="F53" s="12">
        <v>2</v>
      </c>
      <c r="G53" s="12">
        <v>0</v>
      </c>
      <c r="H53" s="12"/>
      <c r="I53" s="12"/>
    </row>
    <row r="54" spans="1:9" x14ac:dyDescent="0.35">
      <c r="A54">
        <v>53</v>
      </c>
      <c r="B54" s="12">
        <v>37</v>
      </c>
      <c r="C54" t="s">
        <v>27</v>
      </c>
      <c r="D54" t="s">
        <v>31</v>
      </c>
      <c r="E54" t="s">
        <v>35</v>
      </c>
      <c r="F54" s="12">
        <v>5</v>
      </c>
      <c r="G54" s="12">
        <v>9</v>
      </c>
      <c r="H54" s="12"/>
      <c r="I54" s="12"/>
    </row>
    <row r="55" spans="1:9" x14ac:dyDescent="0.35">
      <c r="A55">
        <v>54</v>
      </c>
      <c r="B55" s="12">
        <v>28</v>
      </c>
      <c r="C55" t="s">
        <v>29</v>
      </c>
      <c r="D55" t="s">
        <v>31</v>
      </c>
      <c r="E55" t="s">
        <v>35</v>
      </c>
      <c r="F55" s="12">
        <v>4</v>
      </c>
      <c r="G55" s="12">
        <v>7</v>
      </c>
      <c r="H55" s="12"/>
      <c r="I55" s="12"/>
    </row>
    <row r="56" spans="1:9" x14ac:dyDescent="0.35">
      <c r="A56">
        <v>55</v>
      </c>
      <c r="B56" s="12">
        <v>59</v>
      </c>
      <c r="C56" t="s">
        <v>28</v>
      </c>
      <c r="D56" t="s">
        <v>30</v>
      </c>
      <c r="E56" t="s">
        <v>35</v>
      </c>
      <c r="F56" s="12">
        <v>5</v>
      </c>
      <c r="G56" s="12">
        <v>7</v>
      </c>
      <c r="H56" s="12"/>
      <c r="I56" s="12"/>
    </row>
    <row r="57" spans="1:9" x14ac:dyDescent="0.35">
      <c r="A57">
        <v>56</v>
      </c>
      <c r="B57" s="12">
        <v>19</v>
      </c>
      <c r="C57" t="s">
        <v>29</v>
      </c>
      <c r="D57" t="s">
        <v>30</v>
      </c>
      <c r="E57" t="s">
        <v>34</v>
      </c>
      <c r="F57" s="12">
        <v>4</v>
      </c>
      <c r="G57" s="12">
        <v>0</v>
      </c>
      <c r="H57" s="12"/>
      <c r="I57" s="12"/>
    </row>
    <row r="58" spans="1:9" x14ac:dyDescent="0.35">
      <c r="A58">
        <v>57</v>
      </c>
      <c r="B58" s="12">
        <v>20</v>
      </c>
      <c r="C58" t="s">
        <v>27</v>
      </c>
      <c r="D58" t="s">
        <v>31</v>
      </c>
      <c r="E58" t="s">
        <v>35</v>
      </c>
      <c r="F58" s="12">
        <v>4</v>
      </c>
      <c r="G58" s="12">
        <v>10</v>
      </c>
      <c r="H58" s="12"/>
      <c r="I58" s="12"/>
    </row>
    <row r="59" spans="1:9" x14ac:dyDescent="0.35">
      <c r="A59">
        <v>58</v>
      </c>
      <c r="B59" s="12">
        <v>40</v>
      </c>
      <c r="C59" t="s">
        <v>28</v>
      </c>
      <c r="D59" t="s">
        <v>32</v>
      </c>
      <c r="E59" t="s">
        <v>35</v>
      </c>
      <c r="F59" s="12">
        <v>4</v>
      </c>
      <c r="G59" s="12">
        <v>7</v>
      </c>
      <c r="H59" s="12"/>
      <c r="I59" s="12"/>
    </row>
    <row r="60" spans="1:9" x14ac:dyDescent="0.35">
      <c r="A60">
        <v>59</v>
      </c>
      <c r="B60" s="12">
        <v>29</v>
      </c>
      <c r="C60" t="s">
        <v>27</v>
      </c>
      <c r="D60" t="s">
        <v>33</v>
      </c>
      <c r="E60" t="s">
        <v>35</v>
      </c>
      <c r="F60" s="12">
        <v>4</v>
      </c>
      <c r="G60" s="12">
        <v>8</v>
      </c>
      <c r="H60" s="12"/>
      <c r="I60" s="12"/>
    </row>
    <row r="61" spans="1:9" x14ac:dyDescent="0.35">
      <c r="A61">
        <v>60</v>
      </c>
      <c r="B61" s="12">
        <v>37</v>
      </c>
      <c r="C61" t="s">
        <v>27</v>
      </c>
      <c r="D61" t="s">
        <v>30</v>
      </c>
      <c r="E61" t="s">
        <v>34</v>
      </c>
      <c r="F61" s="12">
        <v>4</v>
      </c>
      <c r="G61" s="12">
        <v>3</v>
      </c>
      <c r="H61" s="12"/>
      <c r="I61" s="12"/>
    </row>
    <row r="62" spans="1:9" x14ac:dyDescent="0.35">
      <c r="A62">
        <v>61</v>
      </c>
      <c r="B62" s="12">
        <v>22</v>
      </c>
      <c r="C62" t="s">
        <v>29</v>
      </c>
      <c r="D62" t="s">
        <v>30</v>
      </c>
      <c r="E62" t="s">
        <v>35</v>
      </c>
      <c r="F62" s="12">
        <v>2</v>
      </c>
      <c r="G62" s="12">
        <v>0</v>
      </c>
      <c r="H62" s="12"/>
      <c r="I62" s="12"/>
    </row>
    <row r="63" spans="1:9" x14ac:dyDescent="0.35">
      <c r="A63">
        <v>62</v>
      </c>
      <c r="B63" s="12">
        <v>54</v>
      </c>
      <c r="C63" t="s">
        <v>27</v>
      </c>
      <c r="D63" t="s">
        <v>31</v>
      </c>
      <c r="E63" t="s">
        <v>35</v>
      </c>
      <c r="F63" s="12">
        <v>1</v>
      </c>
      <c r="G63" s="12">
        <v>0</v>
      </c>
      <c r="H63" s="12"/>
      <c r="I63" s="12"/>
    </row>
    <row r="64" spans="1:9" x14ac:dyDescent="0.35">
      <c r="A64">
        <v>63</v>
      </c>
      <c r="B64" s="12">
        <v>55</v>
      </c>
      <c r="C64" t="s">
        <v>29</v>
      </c>
      <c r="D64" t="s">
        <v>33</v>
      </c>
      <c r="E64" t="s">
        <v>35</v>
      </c>
      <c r="F64" s="12">
        <v>3</v>
      </c>
      <c r="G64" s="12">
        <v>2</v>
      </c>
      <c r="H64" s="12"/>
      <c r="I64" s="12"/>
    </row>
    <row r="65" spans="1:9" x14ac:dyDescent="0.35">
      <c r="A65">
        <v>64</v>
      </c>
      <c r="B65" s="12">
        <v>47</v>
      </c>
      <c r="C65" t="s">
        <v>28</v>
      </c>
      <c r="D65" t="s">
        <v>31</v>
      </c>
      <c r="E65" t="s">
        <v>34</v>
      </c>
      <c r="F65" s="12">
        <v>1</v>
      </c>
      <c r="G65" s="12">
        <v>4</v>
      </c>
      <c r="H65" s="12"/>
      <c r="I65" s="12"/>
    </row>
    <row r="66" spans="1:9" x14ac:dyDescent="0.35">
      <c r="A66">
        <v>65</v>
      </c>
      <c r="B66" s="12">
        <v>26</v>
      </c>
      <c r="C66" t="s">
        <v>29</v>
      </c>
      <c r="D66" t="s">
        <v>33</v>
      </c>
      <c r="E66" t="s">
        <v>35</v>
      </c>
      <c r="F66" s="12">
        <v>4</v>
      </c>
      <c r="G66" s="12">
        <v>4</v>
      </c>
      <c r="H66" s="12"/>
      <c r="I66" s="12"/>
    </row>
    <row r="67" spans="1:9" x14ac:dyDescent="0.35">
      <c r="A67">
        <v>66</v>
      </c>
      <c r="B67" s="12">
        <v>51</v>
      </c>
      <c r="C67" t="s">
        <v>28</v>
      </c>
      <c r="D67" t="s">
        <v>33</v>
      </c>
      <c r="E67" t="s">
        <v>35</v>
      </c>
      <c r="F67" s="12">
        <v>2</v>
      </c>
      <c r="G67" s="12">
        <v>8</v>
      </c>
      <c r="H67" s="12"/>
      <c r="I67" s="12"/>
    </row>
    <row r="68" spans="1:9" x14ac:dyDescent="0.35">
      <c r="A68">
        <v>67</v>
      </c>
      <c r="B68" s="12">
        <v>52</v>
      </c>
      <c r="C68" t="s">
        <v>29</v>
      </c>
      <c r="D68" t="s">
        <v>33</v>
      </c>
      <c r="E68" t="s">
        <v>35</v>
      </c>
      <c r="F68" s="12">
        <v>5</v>
      </c>
      <c r="G68" s="12">
        <v>9</v>
      </c>
      <c r="H68" s="12"/>
      <c r="I68" s="12"/>
    </row>
    <row r="69" spans="1:9" x14ac:dyDescent="0.35">
      <c r="A69">
        <v>68</v>
      </c>
      <c r="B69" s="12">
        <v>39</v>
      </c>
      <c r="C69" t="s">
        <v>27</v>
      </c>
      <c r="D69" t="s">
        <v>30</v>
      </c>
      <c r="E69" t="s">
        <v>35</v>
      </c>
      <c r="F69" s="12">
        <v>2</v>
      </c>
      <c r="G69" s="12">
        <v>1</v>
      </c>
      <c r="H69" s="12"/>
      <c r="I69" s="12"/>
    </row>
    <row r="70" spans="1:9" x14ac:dyDescent="0.35">
      <c r="A70">
        <v>69</v>
      </c>
      <c r="B70" s="12">
        <v>41</v>
      </c>
      <c r="C70" t="s">
        <v>29</v>
      </c>
      <c r="D70" t="s">
        <v>32</v>
      </c>
      <c r="E70" t="s">
        <v>35</v>
      </c>
      <c r="F70" s="12">
        <v>4</v>
      </c>
      <c r="G70" s="12">
        <v>1</v>
      </c>
      <c r="H70" s="12"/>
      <c r="I70" s="12"/>
    </row>
    <row r="71" spans="1:9" x14ac:dyDescent="0.35">
      <c r="A71">
        <v>70</v>
      </c>
      <c r="B71" s="12">
        <v>34</v>
      </c>
      <c r="C71" t="s">
        <v>29</v>
      </c>
      <c r="D71" t="s">
        <v>31</v>
      </c>
      <c r="E71" t="s">
        <v>35</v>
      </c>
      <c r="F71" s="12">
        <v>2</v>
      </c>
      <c r="G71" s="12">
        <v>5</v>
      </c>
      <c r="H71" s="12"/>
      <c r="I71" s="12"/>
    </row>
    <row r="72" spans="1:9" x14ac:dyDescent="0.35">
      <c r="A72">
        <v>71</v>
      </c>
      <c r="B72" s="12">
        <v>27</v>
      </c>
      <c r="C72" t="s">
        <v>28</v>
      </c>
      <c r="D72" t="s">
        <v>32</v>
      </c>
      <c r="E72" t="s">
        <v>34</v>
      </c>
      <c r="F72" s="12">
        <v>2</v>
      </c>
      <c r="G72" s="12">
        <v>8</v>
      </c>
      <c r="H72" s="12"/>
      <c r="I72" s="12"/>
    </row>
    <row r="73" spans="1:9" x14ac:dyDescent="0.35">
      <c r="A73">
        <v>72</v>
      </c>
      <c r="B73" s="12">
        <v>47</v>
      </c>
      <c r="C73" t="s">
        <v>27</v>
      </c>
      <c r="D73" t="s">
        <v>31</v>
      </c>
      <c r="E73" t="s">
        <v>35</v>
      </c>
      <c r="F73" s="12">
        <v>4</v>
      </c>
      <c r="G73" s="12">
        <v>0</v>
      </c>
      <c r="H73" s="12"/>
      <c r="I73" s="12"/>
    </row>
    <row r="74" spans="1:9" x14ac:dyDescent="0.35">
      <c r="A74">
        <v>73</v>
      </c>
      <c r="B74" s="12">
        <v>40</v>
      </c>
      <c r="C74" t="s">
        <v>29</v>
      </c>
      <c r="D74" t="s">
        <v>33</v>
      </c>
      <c r="E74" t="s">
        <v>35</v>
      </c>
      <c r="F74" s="12">
        <v>2</v>
      </c>
      <c r="G74" s="12">
        <v>8</v>
      </c>
      <c r="H74" s="12"/>
      <c r="I74" s="12"/>
    </row>
    <row r="75" spans="1:9" x14ac:dyDescent="0.35">
      <c r="A75">
        <v>74</v>
      </c>
      <c r="B75" s="12">
        <v>49</v>
      </c>
      <c r="C75" t="s">
        <v>27</v>
      </c>
      <c r="D75" t="s">
        <v>30</v>
      </c>
      <c r="E75" t="s">
        <v>34</v>
      </c>
      <c r="F75" s="12">
        <v>3</v>
      </c>
      <c r="G75" s="12">
        <v>8</v>
      </c>
      <c r="H75" s="12"/>
      <c r="I75" s="12"/>
    </row>
    <row r="76" spans="1:9" x14ac:dyDescent="0.35">
      <c r="A76">
        <v>75</v>
      </c>
      <c r="B76" s="12">
        <v>34</v>
      </c>
      <c r="C76" t="s">
        <v>29</v>
      </c>
      <c r="D76" t="s">
        <v>32</v>
      </c>
      <c r="E76" t="s">
        <v>35</v>
      </c>
      <c r="F76" s="12">
        <v>3</v>
      </c>
      <c r="G76" s="12">
        <v>8</v>
      </c>
      <c r="H76" s="12"/>
      <c r="I76" s="12"/>
    </row>
    <row r="77" spans="1:9" x14ac:dyDescent="0.35">
      <c r="A77">
        <v>76</v>
      </c>
      <c r="B77" s="12">
        <v>34</v>
      </c>
      <c r="C77" t="s">
        <v>29</v>
      </c>
      <c r="D77" t="s">
        <v>30</v>
      </c>
      <c r="E77" t="s">
        <v>35</v>
      </c>
      <c r="F77" s="12">
        <v>2</v>
      </c>
      <c r="G77" s="12">
        <v>4</v>
      </c>
      <c r="H77" s="12"/>
      <c r="I77" s="12"/>
    </row>
    <row r="78" spans="1:9" x14ac:dyDescent="0.35">
      <c r="A78">
        <v>77</v>
      </c>
      <c r="B78" s="12">
        <v>31</v>
      </c>
      <c r="C78" t="s">
        <v>27</v>
      </c>
      <c r="D78" t="s">
        <v>31</v>
      </c>
      <c r="E78" t="s">
        <v>35</v>
      </c>
      <c r="F78" s="12">
        <v>5</v>
      </c>
      <c r="G78" s="12">
        <v>8</v>
      </c>
      <c r="H78" s="12"/>
      <c r="I78" s="12"/>
    </row>
    <row r="79" spans="1:9" x14ac:dyDescent="0.35">
      <c r="A79">
        <v>78</v>
      </c>
      <c r="B79" s="12">
        <v>26</v>
      </c>
      <c r="C79" t="s">
        <v>29</v>
      </c>
      <c r="D79" t="s">
        <v>30</v>
      </c>
      <c r="E79" t="s">
        <v>35</v>
      </c>
      <c r="F79" s="12">
        <v>4</v>
      </c>
      <c r="G79" s="12">
        <v>10</v>
      </c>
      <c r="H79" s="12"/>
      <c r="I79" s="12"/>
    </row>
    <row r="80" spans="1:9" x14ac:dyDescent="0.35">
      <c r="A80">
        <v>79</v>
      </c>
      <c r="B80" s="12">
        <v>57</v>
      </c>
      <c r="C80" t="s">
        <v>27</v>
      </c>
      <c r="D80" t="s">
        <v>30</v>
      </c>
      <c r="E80" t="s">
        <v>34</v>
      </c>
      <c r="F80" s="12">
        <v>3</v>
      </c>
      <c r="G80" s="12">
        <v>3</v>
      </c>
      <c r="H80" s="12"/>
      <c r="I80" s="12"/>
    </row>
    <row r="81" spans="1:9" x14ac:dyDescent="0.35">
      <c r="A81">
        <v>80</v>
      </c>
      <c r="B81" s="12">
        <v>19</v>
      </c>
      <c r="C81" t="s">
        <v>29</v>
      </c>
      <c r="D81" t="s">
        <v>32</v>
      </c>
      <c r="E81" t="s">
        <v>35</v>
      </c>
      <c r="F81" s="12">
        <v>5</v>
      </c>
      <c r="G81" s="12">
        <v>1</v>
      </c>
      <c r="H81" s="12"/>
      <c r="I81" s="12"/>
    </row>
    <row r="82" spans="1:9" x14ac:dyDescent="0.35">
      <c r="A82">
        <v>81</v>
      </c>
      <c r="B82" s="12">
        <v>42</v>
      </c>
      <c r="C82" t="s">
        <v>28</v>
      </c>
      <c r="D82" t="s">
        <v>33</v>
      </c>
      <c r="E82" t="s">
        <v>34</v>
      </c>
      <c r="F82" s="12">
        <v>2</v>
      </c>
      <c r="G82" s="12">
        <v>5</v>
      </c>
      <c r="H82" s="12"/>
      <c r="I82" s="12"/>
    </row>
    <row r="83" spans="1:9" x14ac:dyDescent="0.35">
      <c r="A83">
        <v>82</v>
      </c>
      <c r="B83" s="12">
        <v>56</v>
      </c>
      <c r="C83" t="s">
        <v>27</v>
      </c>
      <c r="D83" t="s">
        <v>30</v>
      </c>
      <c r="E83" t="s">
        <v>35</v>
      </c>
      <c r="F83" s="12">
        <v>5</v>
      </c>
      <c r="G83" s="12">
        <v>3</v>
      </c>
      <c r="H83" s="12"/>
      <c r="I83" s="12"/>
    </row>
    <row r="84" spans="1:9" x14ac:dyDescent="0.35">
      <c r="A84">
        <v>83</v>
      </c>
      <c r="B84" s="12">
        <v>26</v>
      </c>
      <c r="C84" t="s">
        <v>29</v>
      </c>
      <c r="D84" t="s">
        <v>33</v>
      </c>
      <c r="E84" t="s">
        <v>35</v>
      </c>
      <c r="F84" s="12">
        <v>1</v>
      </c>
      <c r="G84" s="12">
        <v>5</v>
      </c>
      <c r="H84" s="12"/>
      <c r="I84" s="12"/>
    </row>
    <row r="85" spans="1:9" x14ac:dyDescent="0.35">
      <c r="A85">
        <v>84</v>
      </c>
      <c r="B85" s="12">
        <v>39</v>
      </c>
      <c r="C85" t="s">
        <v>29</v>
      </c>
      <c r="D85" t="s">
        <v>31</v>
      </c>
      <c r="E85" t="s">
        <v>35</v>
      </c>
      <c r="F85" s="12">
        <v>3</v>
      </c>
      <c r="G85" s="12">
        <v>2</v>
      </c>
      <c r="H85" s="12"/>
      <c r="I85" s="12"/>
    </row>
    <row r="86" spans="1:9" x14ac:dyDescent="0.35">
      <c r="A86">
        <v>85</v>
      </c>
      <c r="B86" s="12">
        <v>60</v>
      </c>
      <c r="C86" t="s">
        <v>28</v>
      </c>
      <c r="D86" t="s">
        <v>30</v>
      </c>
      <c r="E86" t="s">
        <v>35</v>
      </c>
      <c r="F86" s="12">
        <v>2</v>
      </c>
      <c r="G86" s="12">
        <v>5</v>
      </c>
      <c r="H86" s="12"/>
      <c r="I86" s="12"/>
    </row>
    <row r="87" spans="1:9" x14ac:dyDescent="0.35">
      <c r="A87">
        <v>86</v>
      </c>
      <c r="B87" s="12">
        <v>21</v>
      </c>
      <c r="C87" t="s">
        <v>27</v>
      </c>
      <c r="D87" t="s">
        <v>32</v>
      </c>
      <c r="E87" t="s">
        <v>35</v>
      </c>
      <c r="F87" s="12">
        <v>4</v>
      </c>
      <c r="G87" s="12">
        <v>1</v>
      </c>
      <c r="H87" s="12"/>
      <c r="I87" s="12"/>
    </row>
    <row r="88" spans="1:9" x14ac:dyDescent="0.35">
      <c r="A88">
        <v>87</v>
      </c>
      <c r="B88" s="12">
        <v>43</v>
      </c>
      <c r="C88" t="s">
        <v>29</v>
      </c>
      <c r="D88" t="s">
        <v>31</v>
      </c>
      <c r="E88" t="s">
        <v>34</v>
      </c>
      <c r="F88" s="12">
        <v>2</v>
      </c>
      <c r="G88" s="12">
        <v>1</v>
      </c>
      <c r="H88" s="12"/>
      <c r="I88" s="12"/>
    </row>
    <row r="89" spans="1:9" x14ac:dyDescent="0.35">
      <c r="A89">
        <v>88</v>
      </c>
      <c r="B89" s="12">
        <v>46</v>
      </c>
      <c r="C89" t="s">
        <v>28</v>
      </c>
      <c r="D89" t="s">
        <v>31</v>
      </c>
      <c r="E89" t="s">
        <v>35</v>
      </c>
      <c r="F89" s="12">
        <v>4</v>
      </c>
      <c r="G89" s="12">
        <v>8</v>
      </c>
      <c r="H89" s="12"/>
      <c r="I89" s="12"/>
    </row>
    <row r="90" spans="1:9" x14ac:dyDescent="0.35">
      <c r="A90">
        <v>89</v>
      </c>
      <c r="B90" s="12">
        <v>51</v>
      </c>
      <c r="C90" t="s">
        <v>29</v>
      </c>
      <c r="D90" t="s">
        <v>32</v>
      </c>
      <c r="E90" t="s">
        <v>34</v>
      </c>
      <c r="F90" s="12">
        <v>2</v>
      </c>
      <c r="G90" s="12">
        <v>6</v>
      </c>
      <c r="H90" s="12"/>
      <c r="I90" s="12"/>
    </row>
    <row r="91" spans="1:9" x14ac:dyDescent="0.35">
      <c r="A91">
        <v>90</v>
      </c>
      <c r="B91" s="12">
        <v>40</v>
      </c>
      <c r="C91" t="s">
        <v>27</v>
      </c>
      <c r="D91" t="s">
        <v>30</v>
      </c>
      <c r="E91" t="s">
        <v>35</v>
      </c>
      <c r="F91" s="12">
        <v>5</v>
      </c>
      <c r="G91" s="12">
        <v>2</v>
      </c>
      <c r="H91" s="12"/>
      <c r="I91" s="12"/>
    </row>
    <row r="92" spans="1:9" x14ac:dyDescent="0.35">
      <c r="A92">
        <v>91</v>
      </c>
      <c r="B92" s="12">
        <v>54</v>
      </c>
      <c r="C92" t="s">
        <v>29</v>
      </c>
      <c r="D92" t="s">
        <v>30</v>
      </c>
      <c r="E92" t="s">
        <v>34</v>
      </c>
      <c r="F92" s="12">
        <v>5</v>
      </c>
      <c r="G92" s="12">
        <v>10</v>
      </c>
      <c r="H92" s="12"/>
      <c r="I92" s="12"/>
    </row>
    <row r="93" spans="1:9" x14ac:dyDescent="0.35">
      <c r="A93">
        <v>92</v>
      </c>
      <c r="B93" s="12">
        <v>28</v>
      </c>
      <c r="C93" t="s">
        <v>29</v>
      </c>
      <c r="D93" t="s">
        <v>31</v>
      </c>
      <c r="E93" t="s">
        <v>34</v>
      </c>
      <c r="F93" s="12">
        <v>5</v>
      </c>
      <c r="G93" s="12">
        <v>0</v>
      </c>
      <c r="H93" s="12"/>
      <c r="I93" s="12"/>
    </row>
    <row r="94" spans="1:9" x14ac:dyDescent="0.35">
      <c r="A94">
        <v>93</v>
      </c>
      <c r="B94" s="12">
        <v>23</v>
      </c>
      <c r="C94" t="s">
        <v>29</v>
      </c>
      <c r="D94" t="s">
        <v>30</v>
      </c>
      <c r="E94" t="s">
        <v>34</v>
      </c>
      <c r="F94" s="12">
        <v>1</v>
      </c>
      <c r="G94" s="12">
        <v>7</v>
      </c>
      <c r="H94" s="12"/>
      <c r="I94" s="12"/>
    </row>
    <row r="95" spans="1:9" x14ac:dyDescent="0.35">
      <c r="A95">
        <v>94</v>
      </c>
      <c r="B95" s="12">
        <v>35</v>
      </c>
      <c r="C95" t="s">
        <v>29</v>
      </c>
      <c r="D95" t="s">
        <v>33</v>
      </c>
      <c r="E95" t="s">
        <v>34</v>
      </c>
      <c r="F95" s="12">
        <v>4</v>
      </c>
      <c r="G95" s="12">
        <v>5</v>
      </c>
      <c r="H95" s="12"/>
      <c r="I95" s="12"/>
    </row>
    <row r="96" spans="1:9" x14ac:dyDescent="0.35">
      <c r="A96">
        <v>95</v>
      </c>
      <c r="B96" s="12">
        <v>38</v>
      </c>
      <c r="C96" t="s">
        <v>28</v>
      </c>
      <c r="D96" t="s">
        <v>32</v>
      </c>
      <c r="E96" t="s">
        <v>34</v>
      </c>
      <c r="F96" s="12">
        <v>5</v>
      </c>
      <c r="G96" s="12">
        <v>6</v>
      </c>
      <c r="H96" s="12"/>
      <c r="I96" s="12"/>
    </row>
    <row r="97" spans="1:9" x14ac:dyDescent="0.35">
      <c r="A97">
        <v>96</v>
      </c>
      <c r="B97" s="12">
        <v>59</v>
      </c>
      <c r="C97" t="s">
        <v>28</v>
      </c>
      <c r="D97" t="s">
        <v>33</v>
      </c>
      <c r="E97" t="s">
        <v>35</v>
      </c>
      <c r="F97" s="12">
        <v>1</v>
      </c>
      <c r="G97" s="12">
        <v>8</v>
      </c>
      <c r="H97" s="12"/>
      <c r="I97" s="12"/>
    </row>
    <row r="98" spans="1:9" x14ac:dyDescent="0.35">
      <c r="A98">
        <v>97</v>
      </c>
      <c r="B98" s="12">
        <v>53</v>
      </c>
      <c r="C98" t="s">
        <v>27</v>
      </c>
      <c r="D98" t="s">
        <v>30</v>
      </c>
      <c r="E98" t="s">
        <v>35</v>
      </c>
      <c r="F98" s="12">
        <v>4</v>
      </c>
      <c r="G98" s="12">
        <v>4</v>
      </c>
      <c r="H98" s="12"/>
      <c r="I98" s="12"/>
    </row>
    <row r="99" spans="1:9" x14ac:dyDescent="0.35">
      <c r="A99">
        <v>98</v>
      </c>
      <c r="B99" s="12">
        <v>58</v>
      </c>
      <c r="C99" t="s">
        <v>28</v>
      </c>
      <c r="D99" t="s">
        <v>31</v>
      </c>
      <c r="E99" t="s">
        <v>35</v>
      </c>
      <c r="F99" s="12">
        <v>2</v>
      </c>
      <c r="G99" s="12">
        <v>0</v>
      </c>
      <c r="H99" s="12"/>
      <c r="I99" s="12"/>
    </row>
    <row r="100" spans="1:9" x14ac:dyDescent="0.35">
      <c r="A100">
        <v>99</v>
      </c>
      <c r="B100" s="12">
        <v>55</v>
      </c>
      <c r="C100" t="s">
        <v>28</v>
      </c>
      <c r="D100" t="s">
        <v>32</v>
      </c>
      <c r="E100" t="s">
        <v>34</v>
      </c>
      <c r="F100" s="12">
        <v>1</v>
      </c>
      <c r="G100" s="12">
        <v>9</v>
      </c>
      <c r="H100" s="12"/>
      <c r="I100" s="12"/>
    </row>
    <row r="101" spans="1:9" x14ac:dyDescent="0.35">
      <c r="A101">
        <v>100</v>
      </c>
      <c r="B101" s="12">
        <v>51</v>
      </c>
      <c r="C101" t="s">
        <v>27</v>
      </c>
      <c r="D101" t="s">
        <v>30</v>
      </c>
      <c r="E101" t="s">
        <v>35</v>
      </c>
      <c r="F101" s="12">
        <v>3</v>
      </c>
      <c r="G101" s="12">
        <v>6</v>
      </c>
      <c r="H101" s="12"/>
      <c r="I101" s="12"/>
    </row>
    <row r="102" spans="1:9" x14ac:dyDescent="0.35">
      <c r="A102">
        <v>101</v>
      </c>
      <c r="B102" s="12">
        <v>34</v>
      </c>
      <c r="C102" t="s">
        <v>28</v>
      </c>
      <c r="D102" t="s">
        <v>30</v>
      </c>
      <c r="E102" t="s">
        <v>34</v>
      </c>
      <c r="F102" s="12">
        <v>1</v>
      </c>
      <c r="G102" s="12">
        <v>4</v>
      </c>
      <c r="H102" s="12"/>
      <c r="I102" s="12"/>
    </row>
    <row r="103" spans="1:9" x14ac:dyDescent="0.35">
      <c r="A103">
        <v>102</v>
      </c>
      <c r="B103" s="12">
        <v>54</v>
      </c>
      <c r="C103" t="s">
        <v>28</v>
      </c>
      <c r="D103" t="s">
        <v>31</v>
      </c>
      <c r="E103" t="s">
        <v>35</v>
      </c>
      <c r="F103" s="12">
        <v>1</v>
      </c>
      <c r="G103" s="12">
        <v>2</v>
      </c>
      <c r="H103" s="12"/>
      <c r="I103" s="12"/>
    </row>
    <row r="104" spans="1:9" x14ac:dyDescent="0.35">
      <c r="A104">
        <v>103</v>
      </c>
      <c r="B104" s="12">
        <v>42</v>
      </c>
      <c r="C104" t="s">
        <v>27</v>
      </c>
      <c r="D104" t="s">
        <v>31</v>
      </c>
      <c r="E104" t="s">
        <v>35</v>
      </c>
      <c r="F104" s="12">
        <v>4</v>
      </c>
      <c r="G104" s="12">
        <v>8</v>
      </c>
      <c r="H104" s="12"/>
      <c r="I104" s="12"/>
    </row>
    <row r="105" spans="1:9" x14ac:dyDescent="0.35">
      <c r="A105">
        <v>104</v>
      </c>
      <c r="B105" s="12">
        <v>55</v>
      </c>
      <c r="C105" t="s">
        <v>27</v>
      </c>
      <c r="D105" t="s">
        <v>33</v>
      </c>
      <c r="E105" t="s">
        <v>35</v>
      </c>
      <c r="F105" s="12">
        <v>2</v>
      </c>
      <c r="G105" s="12">
        <v>0</v>
      </c>
      <c r="H105" s="12"/>
      <c r="I105" s="12"/>
    </row>
    <row r="106" spans="1:9" x14ac:dyDescent="0.35">
      <c r="A106">
        <v>105</v>
      </c>
      <c r="B106" s="12">
        <v>29</v>
      </c>
      <c r="C106" t="s">
        <v>27</v>
      </c>
      <c r="D106" t="s">
        <v>32</v>
      </c>
      <c r="E106" t="s">
        <v>35</v>
      </c>
      <c r="F106" s="12">
        <v>3</v>
      </c>
      <c r="G106" s="12">
        <v>0</v>
      </c>
      <c r="H106" s="12"/>
      <c r="I106" s="12"/>
    </row>
    <row r="107" spans="1:9" x14ac:dyDescent="0.35">
      <c r="A107">
        <v>106</v>
      </c>
      <c r="B107" s="12">
        <v>40</v>
      </c>
      <c r="C107" t="s">
        <v>29</v>
      </c>
      <c r="D107" t="s">
        <v>32</v>
      </c>
      <c r="E107" t="s">
        <v>35</v>
      </c>
      <c r="F107" s="12">
        <v>5</v>
      </c>
      <c r="G107" s="12">
        <v>0</v>
      </c>
      <c r="H107" s="12"/>
      <c r="I107" s="12"/>
    </row>
    <row r="108" spans="1:9" x14ac:dyDescent="0.35">
      <c r="A108">
        <v>107</v>
      </c>
      <c r="B108" s="12">
        <v>59</v>
      </c>
      <c r="C108" t="s">
        <v>29</v>
      </c>
      <c r="D108" t="s">
        <v>31</v>
      </c>
      <c r="E108" t="s">
        <v>35</v>
      </c>
      <c r="F108" s="12">
        <v>5</v>
      </c>
      <c r="G108" s="12">
        <v>2</v>
      </c>
      <c r="H108" s="12"/>
      <c r="I108" s="12"/>
    </row>
    <row r="109" spans="1:9" x14ac:dyDescent="0.35">
      <c r="A109">
        <v>108</v>
      </c>
      <c r="B109" s="12">
        <v>39</v>
      </c>
      <c r="C109" t="s">
        <v>27</v>
      </c>
      <c r="D109" t="s">
        <v>33</v>
      </c>
      <c r="E109" t="s">
        <v>35</v>
      </c>
      <c r="F109" s="12">
        <v>1</v>
      </c>
      <c r="G109" s="12">
        <v>5</v>
      </c>
      <c r="H109" s="12"/>
      <c r="I109" s="12"/>
    </row>
    <row r="110" spans="1:9" x14ac:dyDescent="0.35">
      <c r="A110">
        <v>109</v>
      </c>
      <c r="B110" s="12">
        <v>38</v>
      </c>
      <c r="C110" t="s">
        <v>27</v>
      </c>
      <c r="D110" t="s">
        <v>32</v>
      </c>
      <c r="E110" t="s">
        <v>35</v>
      </c>
      <c r="F110" s="12">
        <v>4</v>
      </c>
      <c r="G110" s="12">
        <v>9</v>
      </c>
      <c r="H110" s="12"/>
      <c r="I110" s="12"/>
    </row>
    <row r="111" spans="1:9" x14ac:dyDescent="0.35">
      <c r="A111">
        <v>110</v>
      </c>
      <c r="B111" s="12">
        <v>44</v>
      </c>
      <c r="C111" t="s">
        <v>27</v>
      </c>
      <c r="D111" t="s">
        <v>31</v>
      </c>
      <c r="E111" t="s">
        <v>35</v>
      </c>
      <c r="F111" s="12">
        <v>4</v>
      </c>
      <c r="G111" s="12">
        <v>10</v>
      </c>
      <c r="H111" s="12"/>
      <c r="I111" s="12"/>
    </row>
    <row r="112" spans="1:9" x14ac:dyDescent="0.35">
      <c r="A112">
        <v>111</v>
      </c>
      <c r="B112" s="12">
        <v>48</v>
      </c>
      <c r="C112" t="s">
        <v>29</v>
      </c>
      <c r="D112" t="s">
        <v>30</v>
      </c>
      <c r="E112" t="s">
        <v>35</v>
      </c>
      <c r="F112" s="12">
        <v>5</v>
      </c>
      <c r="G112" s="12">
        <v>2</v>
      </c>
      <c r="H112" s="12"/>
      <c r="I112" s="12"/>
    </row>
    <row r="113" spans="1:9" x14ac:dyDescent="0.35">
      <c r="A113">
        <v>112</v>
      </c>
      <c r="B113" s="12">
        <v>23</v>
      </c>
      <c r="C113" t="s">
        <v>29</v>
      </c>
      <c r="D113" t="s">
        <v>32</v>
      </c>
      <c r="E113" t="s">
        <v>34</v>
      </c>
      <c r="F113" s="12">
        <v>3</v>
      </c>
      <c r="G113" s="12">
        <v>7</v>
      </c>
      <c r="H113" s="12"/>
      <c r="I113" s="12"/>
    </row>
    <row r="114" spans="1:9" x14ac:dyDescent="0.35">
      <c r="A114">
        <v>113</v>
      </c>
      <c r="B114" s="12">
        <v>44</v>
      </c>
      <c r="C114" t="s">
        <v>28</v>
      </c>
      <c r="D114" t="s">
        <v>33</v>
      </c>
      <c r="E114" t="s">
        <v>35</v>
      </c>
      <c r="F114" s="12">
        <v>2</v>
      </c>
      <c r="G114" s="12">
        <v>9</v>
      </c>
      <c r="H114" s="12"/>
      <c r="I114" s="12"/>
    </row>
    <row r="115" spans="1:9" x14ac:dyDescent="0.35">
      <c r="A115">
        <v>114</v>
      </c>
      <c r="B115" s="12">
        <v>57</v>
      </c>
      <c r="C115" t="s">
        <v>28</v>
      </c>
      <c r="D115" t="s">
        <v>33</v>
      </c>
      <c r="E115" t="s">
        <v>35</v>
      </c>
      <c r="F115" s="12">
        <v>3</v>
      </c>
      <c r="G115" s="12">
        <v>1</v>
      </c>
      <c r="H115" s="12"/>
      <c r="I115" s="12"/>
    </row>
    <row r="116" spans="1:9" x14ac:dyDescent="0.35">
      <c r="A116">
        <v>115</v>
      </c>
      <c r="B116" s="12">
        <v>51</v>
      </c>
      <c r="C116" t="s">
        <v>27</v>
      </c>
      <c r="D116" t="s">
        <v>33</v>
      </c>
      <c r="E116" t="s">
        <v>35</v>
      </c>
      <c r="F116" s="12">
        <v>2</v>
      </c>
      <c r="G116" s="12">
        <v>8</v>
      </c>
      <c r="H116" s="12"/>
      <c r="I116" s="12"/>
    </row>
    <row r="117" spans="1:9" x14ac:dyDescent="0.35">
      <c r="A117">
        <v>116</v>
      </c>
      <c r="B117" s="12">
        <v>29</v>
      </c>
      <c r="C117" t="s">
        <v>29</v>
      </c>
      <c r="D117" t="s">
        <v>30</v>
      </c>
      <c r="E117" t="s">
        <v>35</v>
      </c>
      <c r="F117" s="12">
        <v>5</v>
      </c>
      <c r="G117" s="12">
        <v>2</v>
      </c>
      <c r="H117" s="12"/>
      <c r="I117" s="12"/>
    </row>
    <row r="118" spans="1:9" x14ac:dyDescent="0.35">
      <c r="A118">
        <v>117</v>
      </c>
      <c r="B118" s="12">
        <v>24</v>
      </c>
      <c r="C118" t="s">
        <v>29</v>
      </c>
      <c r="D118" t="s">
        <v>32</v>
      </c>
      <c r="E118" t="s">
        <v>35</v>
      </c>
      <c r="F118" s="12">
        <v>2</v>
      </c>
      <c r="G118" s="12">
        <v>4</v>
      </c>
      <c r="H118" s="12"/>
      <c r="I118" s="12"/>
    </row>
    <row r="119" spans="1:9" x14ac:dyDescent="0.35">
      <c r="A119">
        <v>118</v>
      </c>
      <c r="B119" s="12">
        <v>27</v>
      </c>
      <c r="C119" t="s">
        <v>29</v>
      </c>
      <c r="D119" t="s">
        <v>32</v>
      </c>
      <c r="E119" t="s">
        <v>35</v>
      </c>
      <c r="F119" s="12">
        <v>4</v>
      </c>
      <c r="G119" s="12">
        <v>9</v>
      </c>
      <c r="H119" s="12"/>
      <c r="I119" s="12"/>
    </row>
    <row r="120" spans="1:9" x14ac:dyDescent="0.35">
      <c r="A120">
        <v>119</v>
      </c>
      <c r="B120" s="12">
        <v>34</v>
      </c>
      <c r="C120" t="s">
        <v>27</v>
      </c>
      <c r="D120" t="s">
        <v>30</v>
      </c>
      <c r="E120" t="s">
        <v>35</v>
      </c>
      <c r="F120" s="12">
        <v>1</v>
      </c>
      <c r="G120" s="12">
        <v>7</v>
      </c>
      <c r="H120" s="12"/>
      <c r="I120" s="12"/>
    </row>
    <row r="121" spans="1:9" x14ac:dyDescent="0.35">
      <c r="A121">
        <v>120</v>
      </c>
      <c r="B121" s="12">
        <v>43</v>
      </c>
      <c r="C121" t="s">
        <v>28</v>
      </c>
      <c r="D121" t="s">
        <v>32</v>
      </c>
      <c r="E121" t="s">
        <v>35</v>
      </c>
      <c r="F121" s="12">
        <v>1</v>
      </c>
      <c r="G121" s="12">
        <v>1</v>
      </c>
      <c r="H121" s="12"/>
      <c r="I121" s="12"/>
    </row>
    <row r="122" spans="1:9" x14ac:dyDescent="0.35">
      <c r="A122">
        <v>121</v>
      </c>
      <c r="B122" s="12">
        <v>38</v>
      </c>
      <c r="C122" t="s">
        <v>27</v>
      </c>
      <c r="D122" t="s">
        <v>30</v>
      </c>
      <c r="E122" t="s">
        <v>35</v>
      </c>
      <c r="F122" s="12">
        <v>5</v>
      </c>
      <c r="G122" s="12">
        <v>5</v>
      </c>
      <c r="H122" s="12"/>
      <c r="I122" s="12"/>
    </row>
    <row r="123" spans="1:9" x14ac:dyDescent="0.35">
      <c r="A123">
        <v>122</v>
      </c>
      <c r="B123" s="12">
        <v>45</v>
      </c>
      <c r="C123" t="s">
        <v>28</v>
      </c>
      <c r="D123" t="s">
        <v>30</v>
      </c>
      <c r="E123" t="s">
        <v>34</v>
      </c>
      <c r="F123" s="12">
        <v>4</v>
      </c>
      <c r="G123" s="12">
        <v>4</v>
      </c>
      <c r="H123" s="12"/>
      <c r="I123" s="12"/>
    </row>
    <row r="124" spans="1:9" x14ac:dyDescent="0.35">
      <c r="A124">
        <v>123</v>
      </c>
      <c r="B124" s="12">
        <v>19</v>
      </c>
      <c r="C124" t="s">
        <v>28</v>
      </c>
      <c r="D124" t="s">
        <v>30</v>
      </c>
      <c r="E124" t="s">
        <v>34</v>
      </c>
      <c r="F124" s="12">
        <v>3</v>
      </c>
      <c r="G124" s="12">
        <v>9</v>
      </c>
      <c r="H124" s="12"/>
      <c r="I124" s="12"/>
    </row>
    <row r="125" spans="1:9" x14ac:dyDescent="0.35">
      <c r="A125">
        <v>124</v>
      </c>
      <c r="B125" s="12">
        <v>60</v>
      </c>
      <c r="C125" t="s">
        <v>27</v>
      </c>
      <c r="D125" t="s">
        <v>33</v>
      </c>
      <c r="E125" t="s">
        <v>35</v>
      </c>
      <c r="F125" s="12">
        <v>4</v>
      </c>
      <c r="G125" s="12">
        <v>8</v>
      </c>
      <c r="H125" s="12"/>
      <c r="I125" s="12"/>
    </row>
    <row r="126" spans="1:9" x14ac:dyDescent="0.35">
      <c r="A126">
        <v>125</v>
      </c>
      <c r="B126" s="12">
        <v>18</v>
      </c>
      <c r="C126" t="s">
        <v>28</v>
      </c>
      <c r="D126" t="s">
        <v>32</v>
      </c>
      <c r="E126" t="s">
        <v>35</v>
      </c>
      <c r="F126" s="12">
        <v>1</v>
      </c>
      <c r="G126" s="12">
        <v>4</v>
      </c>
      <c r="H126" s="12"/>
      <c r="I126" s="12"/>
    </row>
    <row r="127" spans="1:9" x14ac:dyDescent="0.35">
      <c r="A127">
        <v>126</v>
      </c>
      <c r="B127" s="12">
        <v>53</v>
      </c>
      <c r="C127" t="s">
        <v>28</v>
      </c>
      <c r="D127" t="s">
        <v>30</v>
      </c>
      <c r="E127" t="s">
        <v>35</v>
      </c>
      <c r="F127" s="12">
        <v>1</v>
      </c>
      <c r="G127" s="12">
        <v>1</v>
      </c>
      <c r="H127" s="12"/>
      <c r="I127" s="12"/>
    </row>
    <row r="128" spans="1:9" x14ac:dyDescent="0.35">
      <c r="A128">
        <v>127</v>
      </c>
      <c r="B128" s="12">
        <v>43</v>
      </c>
      <c r="C128" t="s">
        <v>29</v>
      </c>
      <c r="D128" t="s">
        <v>32</v>
      </c>
      <c r="E128" t="s">
        <v>35</v>
      </c>
      <c r="F128" s="12">
        <v>4</v>
      </c>
      <c r="G128" s="12">
        <v>4</v>
      </c>
      <c r="H128" s="12"/>
      <c r="I128" s="12"/>
    </row>
    <row r="129" spans="1:9" x14ac:dyDescent="0.35">
      <c r="A129">
        <v>128</v>
      </c>
      <c r="B129" s="12">
        <v>46</v>
      </c>
      <c r="C129" t="s">
        <v>28</v>
      </c>
      <c r="D129" t="s">
        <v>33</v>
      </c>
      <c r="E129" t="s">
        <v>34</v>
      </c>
      <c r="F129" s="12">
        <v>4</v>
      </c>
      <c r="G129" s="12">
        <v>3</v>
      </c>
      <c r="H129" s="12"/>
      <c r="I129" s="12"/>
    </row>
    <row r="130" spans="1:9" x14ac:dyDescent="0.35">
      <c r="A130">
        <v>129</v>
      </c>
      <c r="B130" s="12">
        <v>38</v>
      </c>
      <c r="C130" t="s">
        <v>27</v>
      </c>
      <c r="D130" t="s">
        <v>30</v>
      </c>
      <c r="E130" t="s">
        <v>35</v>
      </c>
      <c r="F130" s="12">
        <v>1</v>
      </c>
      <c r="G130" s="12">
        <v>10</v>
      </c>
      <c r="H130" s="12"/>
      <c r="I130" s="12"/>
    </row>
    <row r="131" spans="1:9" x14ac:dyDescent="0.35">
      <c r="A131">
        <v>130</v>
      </c>
      <c r="B131" s="12">
        <v>28</v>
      </c>
      <c r="C131" t="s">
        <v>27</v>
      </c>
      <c r="D131" t="s">
        <v>31</v>
      </c>
      <c r="E131" t="s">
        <v>35</v>
      </c>
      <c r="F131" s="12">
        <v>3</v>
      </c>
      <c r="G131" s="12">
        <v>6</v>
      </c>
      <c r="H131" s="12"/>
      <c r="I131" s="12"/>
    </row>
    <row r="132" spans="1:9" x14ac:dyDescent="0.35">
      <c r="A132">
        <v>131</v>
      </c>
      <c r="B132" s="12">
        <v>57</v>
      </c>
      <c r="C132" t="s">
        <v>28</v>
      </c>
      <c r="D132" t="s">
        <v>33</v>
      </c>
      <c r="E132" t="s">
        <v>35</v>
      </c>
      <c r="F132" s="12">
        <v>5</v>
      </c>
      <c r="G132" s="12">
        <v>5</v>
      </c>
      <c r="H132" s="12"/>
      <c r="I132" s="12"/>
    </row>
    <row r="133" spans="1:9" x14ac:dyDescent="0.35">
      <c r="A133">
        <v>132</v>
      </c>
      <c r="B133" s="12">
        <v>28</v>
      </c>
      <c r="C133" t="s">
        <v>29</v>
      </c>
      <c r="D133" t="s">
        <v>31</v>
      </c>
      <c r="E133" t="s">
        <v>34</v>
      </c>
      <c r="F133" s="12">
        <v>5</v>
      </c>
      <c r="G133" s="12">
        <v>1</v>
      </c>
      <c r="H133" s="12"/>
      <c r="I133" s="12"/>
    </row>
    <row r="134" spans="1:9" x14ac:dyDescent="0.35">
      <c r="A134">
        <v>133</v>
      </c>
      <c r="B134" s="12">
        <v>53</v>
      </c>
      <c r="C134" t="s">
        <v>29</v>
      </c>
      <c r="D134" t="s">
        <v>32</v>
      </c>
      <c r="E134" t="s">
        <v>35</v>
      </c>
      <c r="F134" s="12">
        <v>4</v>
      </c>
      <c r="G134" s="12">
        <v>10</v>
      </c>
      <c r="H134" s="12"/>
      <c r="I134" s="12"/>
    </row>
    <row r="135" spans="1:9" x14ac:dyDescent="0.35">
      <c r="A135">
        <v>134</v>
      </c>
      <c r="B135" s="12">
        <v>56</v>
      </c>
      <c r="C135" t="s">
        <v>28</v>
      </c>
      <c r="D135" t="s">
        <v>32</v>
      </c>
      <c r="E135" t="s">
        <v>35</v>
      </c>
      <c r="F135" s="12">
        <v>5</v>
      </c>
      <c r="G135" s="12">
        <v>10</v>
      </c>
      <c r="H135" s="12"/>
      <c r="I135" s="12"/>
    </row>
    <row r="136" spans="1:9" x14ac:dyDescent="0.35">
      <c r="A136">
        <v>135</v>
      </c>
      <c r="B136" s="12">
        <v>57</v>
      </c>
      <c r="C136" t="s">
        <v>28</v>
      </c>
      <c r="D136" t="s">
        <v>33</v>
      </c>
      <c r="E136" t="s">
        <v>35</v>
      </c>
      <c r="F136" s="12">
        <v>1</v>
      </c>
      <c r="G136" s="12">
        <v>4</v>
      </c>
      <c r="H136" s="12"/>
      <c r="I136" s="12"/>
    </row>
    <row r="137" spans="1:9" x14ac:dyDescent="0.35">
      <c r="A137">
        <v>136</v>
      </c>
      <c r="B137" s="12">
        <v>52</v>
      </c>
      <c r="C137" t="s">
        <v>27</v>
      </c>
      <c r="D137" t="s">
        <v>32</v>
      </c>
      <c r="E137" t="s">
        <v>35</v>
      </c>
      <c r="F137" s="12">
        <v>1</v>
      </c>
      <c r="G137" s="12">
        <v>6</v>
      </c>
      <c r="H137" s="12"/>
      <c r="I137" s="12"/>
    </row>
    <row r="138" spans="1:9" x14ac:dyDescent="0.35">
      <c r="A138">
        <v>137</v>
      </c>
      <c r="B138" s="12">
        <v>51</v>
      </c>
      <c r="C138" t="s">
        <v>28</v>
      </c>
      <c r="D138" t="s">
        <v>31</v>
      </c>
      <c r="E138" t="s">
        <v>35</v>
      </c>
      <c r="F138" s="12">
        <v>4</v>
      </c>
      <c r="G138" s="12">
        <v>10</v>
      </c>
      <c r="H138" s="12"/>
      <c r="I138" s="12"/>
    </row>
    <row r="139" spans="1:9" x14ac:dyDescent="0.35">
      <c r="A139">
        <v>138</v>
      </c>
      <c r="B139" s="12">
        <v>41</v>
      </c>
      <c r="C139" t="s">
        <v>29</v>
      </c>
      <c r="D139" t="s">
        <v>30</v>
      </c>
      <c r="E139" t="s">
        <v>35</v>
      </c>
      <c r="F139" s="12">
        <v>4</v>
      </c>
      <c r="G139" s="12">
        <v>6</v>
      </c>
      <c r="H139" s="12"/>
      <c r="I139" s="12"/>
    </row>
    <row r="140" spans="1:9" x14ac:dyDescent="0.35">
      <c r="A140">
        <v>139</v>
      </c>
      <c r="B140" s="12">
        <v>39</v>
      </c>
      <c r="C140" t="s">
        <v>28</v>
      </c>
      <c r="D140" t="s">
        <v>30</v>
      </c>
      <c r="E140" t="s">
        <v>35</v>
      </c>
      <c r="F140" s="12">
        <v>4</v>
      </c>
      <c r="G140" s="12">
        <v>4</v>
      </c>
      <c r="H140" s="12"/>
      <c r="I140" s="12"/>
    </row>
    <row r="141" spans="1:9" x14ac:dyDescent="0.35">
      <c r="A141">
        <v>140</v>
      </c>
      <c r="B141" s="12">
        <v>22</v>
      </c>
      <c r="C141" t="s">
        <v>27</v>
      </c>
      <c r="D141" t="s">
        <v>30</v>
      </c>
      <c r="E141" t="s">
        <v>35</v>
      </c>
      <c r="F141" s="12">
        <v>3</v>
      </c>
      <c r="G141" s="12">
        <v>8</v>
      </c>
      <c r="H141" s="12"/>
      <c r="I141" s="12"/>
    </row>
    <row r="142" spans="1:9" x14ac:dyDescent="0.35">
      <c r="A142">
        <v>141</v>
      </c>
      <c r="B142" s="12">
        <v>50</v>
      </c>
      <c r="C142" t="s">
        <v>27</v>
      </c>
      <c r="D142" t="s">
        <v>33</v>
      </c>
      <c r="E142" t="s">
        <v>35</v>
      </c>
      <c r="F142" s="12">
        <v>5</v>
      </c>
      <c r="G142" s="12">
        <v>3</v>
      </c>
      <c r="H142" s="12"/>
      <c r="I142" s="12"/>
    </row>
    <row r="143" spans="1:9" x14ac:dyDescent="0.35">
      <c r="A143">
        <v>142</v>
      </c>
      <c r="B143" s="12">
        <v>53</v>
      </c>
      <c r="C143" t="s">
        <v>27</v>
      </c>
      <c r="D143" t="s">
        <v>32</v>
      </c>
      <c r="E143" t="s">
        <v>35</v>
      </c>
      <c r="F143" s="12">
        <v>4</v>
      </c>
      <c r="G143" s="12">
        <v>10</v>
      </c>
      <c r="H143" s="12"/>
      <c r="I143" s="12"/>
    </row>
    <row r="144" spans="1:9" x14ac:dyDescent="0.35">
      <c r="A144">
        <v>143</v>
      </c>
      <c r="B144" s="12">
        <v>37</v>
      </c>
      <c r="C144" t="s">
        <v>27</v>
      </c>
      <c r="D144" t="s">
        <v>31</v>
      </c>
      <c r="E144" t="s">
        <v>35</v>
      </c>
      <c r="F144" s="12">
        <v>2</v>
      </c>
      <c r="G144" s="12">
        <v>2</v>
      </c>
      <c r="H144" s="12"/>
      <c r="I144" s="12"/>
    </row>
    <row r="145" spans="1:9" x14ac:dyDescent="0.35">
      <c r="A145">
        <v>144</v>
      </c>
      <c r="B145" s="12">
        <v>36</v>
      </c>
      <c r="C145" t="s">
        <v>27</v>
      </c>
      <c r="D145" t="s">
        <v>32</v>
      </c>
      <c r="E145" t="s">
        <v>35</v>
      </c>
      <c r="F145" s="12">
        <v>2</v>
      </c>
      <c r="G145" s="12">
        <v>3</v>
      </c>
      <c r="H145" s="12"/>
      <c r="I145" s="12"/>
    </row>
    <row r="146" spans="1:9" x14ac:dyDescent="0.35">
      <c r="A146">
        <v>145</v>
      </c>
      <c r="B146" s="12">
        <v>52</v>
      </c>
      <c r="C146" t="s">
        <v>28</v>
      </c>
      <c r="D146" t="s">
        <v>32</v>
      </c>
      <c r="E146" t="s">
        <v>34</v>
      </c>
      <c r="F146" s="12">
        <v>1</v>
      </c>
      <c r="G146" s="12">
        <v>4</v>
      </c>
      <c r="H146" s="12"/>
      <c r="I146" s="12"/>
    </row>
    <row r="147" spans="1:9" x14ac:dyDescent="0.35">
      <c r="A147">
        <v>146</v>
      </c>
      <c r="B147" s="12">
        <v>60</v>
      </c>
      <c r="C147" t="s">
        <v>28</v>
      </c>
      <c r="D147" t="s">
        <v>32</v>
      </c>
      <c r="E147" t="s">
        <v>35</v>
      </c>
      <c r="F147" s="12">
        <v>5</v>
      </c>
      <c r="G147" s="12">
        <v>5</v>
      </c>
      <c r="H147" s="12"/>
      <c r="I147" s="12"/>
    </row>
    <row r="148" spans="1:9" x14ac:dyDescent="0.35">
      <c r="A148">
        <v>147</v>
      </c>
      <c r="B148" s="12">
        <v>34</v>
      </c>
      <c r="C148" t="s">
        <v>28</v>
      </c>
      <c r="D148" t="s">
        <v>30</v>
      </c>
      <c r="E148" t="s">
        <v>35</v>
      </c>
      <c r="F148" s="12">
        <v>4</v>
      </c>
      <c r="G148" s="12">
        <v>2</v>
      </c>
      <c r="H148" s="12"/>
      <c r="I148" s="12"/>
    </row>
    <row r="149" spans="1:9" x14ac:dyDescent="0.35">
      <c r="A149">
        <v>148</v>
      </c>
      <c r="B149" s="12">
        <v>60</v>
      </c>
      <c r="C149" t="s">
        <v>28</v>
      </c>
      <c r="D149" t="s">
        <v>31</v>
      </c>
      <c r="E149" t="s">
        <v>35</v>
      </c>
      <c r="F149" s="12">
        <v>2</v>
      </c>
      <c r="G149" s="12">
        <v>1</v>
      </c>
      <c r="H149" s="12"/>
      <c r="I149" s="12"/>
    </row>
    <row r="150" spans="1:9" x14ac:dyDescent="0.35">
      <c r="A150">
        <v>149</v>
      </c>
      <c r="B150" s="12">
        <v>51</v>
      </c>
      <c r="C150" t="s">
        <v>27</v>
      </c>
      <c r="D150" t="s">
        <v>31</v>
      </c>
      <c r="E150" t="s">
        <v>35</v>
      </c>
      <c r="F150" s="12">
        <v>5</v>
      </c>
      <c r="G150" s="12">
        <v>3</v>
      </c>
      <c r="H150" s="12"/>
      <c r="I150" s="12"/>
    </row>
    <row r="151" spans="1:9" x14ac:dyDescent="0.35">
      <c r="A151">
        <v>150</v>
      </c>
      <c r="B151" s="12">
        <v>26</v>
      </c>
      <c r="C151" t="s">
        <v>29</v>
      </c>
      <c r="D151" t="s">
        <v>32</v>
      </c>
      <c r="E151" t="s">
        <v>34</v>
      </c>
      <c r="F151" s="12">
        <v>1</v>
      </c>
      <c r="G151" s="12">
        <v>4</v>
      </c>
      <c r="H151" s="12"/>
      <c r="I151" s="12"/>
    </row>
  </sheetData>
  <pageMargins left="0.7" right="0.7" top="0.75" bottom="0.75" header="0.3" footer="0.3"/>
  <drawing r:id="rId4"/>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F1CAE-FBD2-4617-9F01-1460EA455C16}">
  <dimension ref="A1"/>
  <sheetViews>
    <sheetView zoomScale="56" workbookViewId="0">
      <selection activeCell="Y12" sqref="Y1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01"/>
  <sheetViews>
    <sheetView zoomScale="72" workbookViewId="0">
      <selection activeCell="B9" sqref="B9"/>
    </sheetView>
  </sheetViews>
  <sheetFormatPr defaultColWidth="16.08984375" defaultRowHeight="14.5" x14ac:dyDescent="0.35"/>
  <cols>
    <col min="7" max="7" width="16.36328125" customWidth="1"/>
    <col min="8" max="8" width="26.26953125" bestFit="1" customWidth="1"/>
    <col min="9" max="9" width="23.08984375" bestFit="1" customWidth="1"/>
    <col min="10" max="10" width="21.81640625" bestFit="1" customWidth="1"/>
    <col min="11" max="11" width="37.90625" bestFit="1" customWidth="1"/>
    <col min="12" max="12" width="28.7265625" bestFit="1" customWidth="1"/>
    <col min="13" max="13" width="28.6328125" bestFit="1" customWidth="1"/>
    <col min="14" max="14" width="28.6328125" customWidth="1"/>
    <col min="16" max="16" width="11.36328125" bestFit="1" customWidth="1"/>
    <col min="17" max="17" width="11.1796875" bestFit="1" customWidth="1"/>
    <col min="18" max="18" width="19.90625" bestFit="1" customWidth="1"/>
    <col min="19" max="19" width="27.6328125" bestFit="1" customWidth="1"/>
    <col min="20" max="20" width="11.36328125" bestFit="1" customWidth="1"/>
    <col min="21" max="21" width="12.81640625" bestFit="1" customWidth="1"/>
    <col min="22" max="22" width="21.7265625" bestFit="1" customWidth="1"/>
    <col min="23" max="24" width="11.36328125" bestFit="1" customWidth="1"/>
    <col min="25" max="25" width="14" bestFit="1" customWidth="1"/>
    <col min="26" max="26" width="13.453125" bestFit="1" customWidth="1"/>
    <col min="27" max="27" width="11.36328125" bestFit="1" customWidth="1"/>
    <col min="28" max="28" width="42.36328125" bestFit="1" customWidth="1"/>
    <col min="29" max="29" width="13.453125" bestFit="1" customWidth="1"/>
  </cols>
  <sheetData>
    <row r="1" spans="1:28" x14ac:dyDescent="0.35">
      <c r="A1" s="16" t="s">
        <v>36</v>
      </c>
      <c r="B1" s="16" t="s">
        <v>37</v>
      </c>
      <c r="C1" s="16" t="s">
        <v>38</v>
      </c>
      <c r="D1" s="16" t="s">
        <v>39</v>
      </c>
      <c r="E1" s="16" t="s">
        <v>40</v>
      </c>
      <c r="F1" s="16" t="s">
        <v>41</v>
      </c>
      <c r="G1" s="16" t="s">
        <v>42</v>
      </c>
      <c r="H1" s="30" t="s">
        <v>117</v>
      </c>
      <c r="I1" s="30" t="s">
        <v>118</v>
      </c>
      <c r="J1" s="30" t="s">
        <v>119</v>
      </c>
      <c r="K1" s="30" t="s">
        <v>120</v>
      </c>
      <c r="L1" s="30" t="s">
        <v>121</v>
      </c>
      <c r="M1" s="30" t="s">
        <v>122</v>
      </c>
      <c r="N1" s="30" t="s">
        <v>150</v>
      </c>
      <c r="S1" s="22"/>
      <c r="T1" s="21"/>
    </row>
    <row r="2" spans="1:28" x14ac:dyDescent="0.35">
      <c r="A2" t="s">
        <v>43</v>
      </c>
      <c r="B2" t="s">
        <v>72</v>
      </c>
      <c r="C2" s="13">
        <v>40433</v>
      </c>
      <c r="D2" s="12">
        <v>88213</v>
      </c>
      <c r="E2" s="12">
        <v>671</v>
      </c>
      <c r="F2" s="12">
        <v>1378</v>
      </c>
      <c r="G2" s="13">
        <v>19313</v>
      </c>
      <c r="H2" s="26">
        <f t="shared" ref="H2:H65" si="0">(E2/D2)</f>
        <v>7.606588598052441E-3</v>
      </c>
      <c r="I2" s="27">
        <f t="shared" ref="I2:I65" si="1">F2/E2</f>
        <v>2.0536512667660207</v>
      </c>
      <c r="J2" s="28">
        <f t="shared" ref="J2:J33" si="2">C2/E2</f>
        <v>60.257824143070046</v>
      </c>
      <c r="K2" s="29">
        <f t="shared" ref="K2:K33" si="3">C2/F2</f>
        <v>29.341799709724238</v>
      </c>
      <c r="L2" s="26">
        <f t="shared" ref="L2:L65" si="4">(G2-C2)/C2</f>
        <v>-0.52234560878490344</v>
      </c>
      <c r="M2" s="29">
        <f t="shared" ref="M2:M33" si="5">G2/C2</f>
        <v>0.47765439121509656</v>
      </c>
      <c r="N2" s="29">
        <f t="shared" ref="N2:N65" si="6">C2-G2</f>
        <v>21120</v>
      </c>
      <c r="P2" s="11" t="s">
        <v>149</v>
      </c>
      <c r="Q2" t="s">
        <v>138</v>
      </c>
      <c r="R2" t="s">
        <v>139</v>
      </c>
      <c r="S2" t="s">
        <v>140</v>
      </c>
      <c r="T2" t="s">
        <v>141</v>
      </c>
      <c r="U2" t="s">
        <v>142</v>
      </c>
      <c r="V2" t="s">
        <v>143</v>
      </c>
    </row>
    <row r="3" spans="1:28" x14ac:dyDescent="0.35">
      <c r="A3" t="s">
        <v>44</v>
      </c>
      <c r="B3" t="s">
        <v>73</v>
      </c>
      <c r="C3" s="13">
        <v>28197</v>
      </c>
      <c r="D3" s="12">
        <v>127407</v>
      </c>
      <c r="E3" s="12">
        <v>3731</v>
      </c>
      <c r="F3" s="12">
        <v>543</v>
      </c>
      <c r="G3" s="13">
        <v>67549</v>
      </c>
      <c r="H3" s="26">
        <f t="shared" si="0"/>
        <v>2.9284105268941266E-2</v>
      </c>
      <c r="I3" s="27">
        <f t="shared" si="1"/>
        <v>0.14553738943982847</v>
      </c>
      <c r="J3" s="28">
        <f t="shared" si="2"/>
        <v>7.5574912891986061</v>
      </c>
      <c r="K3" s="28">
        <f t="shared" si="3"/>
        <v>51.928176795580107</v>
      </c>
      <c r="L3" s="26">
        <f t="shared" si="4"/>
        <v>1.3956094619995034</v>
      </c>
      <c r="M3" s="28">
        <f t="shared" si="5"/>
        <v>2.3956094619995034</v>
      </c>
      <c r="N3" s="29">
        <f t="shared" si="6"/>
        <v>-39352</v>
      </c>
      <c r="P3" s="1" t="s">
        <v>75</v>
      </c>
      <c r="Q3" s="14">
        <v>6.2511296878079242E-2</v>
      </c>
      <c r="R3" s="14">
        <v>0.3580241919472591</v>
      </c>
      <c r="S3" s="12">
        <v>6.0244092420133244</v>
      </c>
      <c r="T3" s="12">
        <v>28.057133818459846</v>
      </c>
      <c r="U3" s="14">
        <v>0.94004300349390346</v>
      </c>
      <c r="V3" s="12">
        <v>1.940043003493904</v>
      </c>
      <c r="X3" s="11" t="s">
        <v>37</v>
      </c>
      <c r="Y3" t="s">
        <v>160</v>
      </c>
    </row>
    <row r="4" spans="1:28" x14ac:dyDescent="0.35">
      <c r="A4" t="s">
        <v>45</v>
      </c>
      <c r="B4" t="s">
        <v>72</v>
      </c>
      <c r="C4" s="13">
        <v>38400</v>
      </c>
      <c r="D4" s="12">
        <v>159340</v>
      </c>
      <c r="E4" s="12">
        <v>6272</v>
      </c>
      <c r="F4" s="12">
        <v>869</v>
      </c>
      <c r="G4" s="13">
        <v>24705</v>
      </c>
      <c r="H4" s="26">
        <f t="shared" si="0"/>
        <v>3.936236977532321E-2</v>
      </c>
      <c r="I4" s="27">
        <f t="shared" si="1"/>
        <v>0.13855229591836735</v>
      </c>
      <c r="J4" s="28">
        <f t="shared" si="2"/>
        <v>6.1224489795918364</v>
      </c>
      <c r="K4" s="28">
        <f t="shared" si="3"/>
        <v>44.188722669735327</v>
      </c>
      <c r="L4" s="26">
        <f t="shared" si="4"/>
        <v>-0.35664062499999999</v>
      </c>
      <c r="M4" s="28">
        <f t="shared" si="5"/>
        <v>0.64335937499999996</v>
      </c>
      <c r="N4" s="29">
        <f t="shared" si="6"/>
        <v>13695</v>
      </c>
      <c r="P4" s="1" t="s">
        <v>72</v>
      </c>
      <c r="Q4" s="14">
        <v>6.4264098167303385E-2</v>
      </c>
      <c r="R4" s="14">
        <v>0.44976388913917342</v>
      </c>
      <c r="S4" s="12">
        <v>21.54285238360216</v>
      </c>
      <c r="T4" s="12">
        <v>56.695354396710705</v>
      </c>
      <c r="U4" s="14">
        <v>0.36964082217855504</v>
      </c>
      <c r="V4" s="12">
        <v>1.3696408221785548</v>
      </c>
      <c r="X4" s="1" t="s">
        <v>73</v>
      </c>
      <c r="Y4" s="14">
        <v>8.8269555151485865E-2</v>
      </c>
      <c r="AA4" s="11" t="s">
        <v>37</v>
      </c>
      <c r="AB4" t="s">
        <v>164</v>
      </c>
    </row>
    <row r="5" spans="1:28" x14ac:dyDescent="0.35">
      <c r="A5" t="s">
        <v>46</v>
      </c>
      <c r="B5" t="s">
        <v>73</v>
      </c>
      <c r="C5" s="13">
        <v>8083</v>
      </c>
      <c r="D5" s="12">
        <v>96269</v>
      </c>
      <c r="E5" s="12">
        <v>9412</v>
      </c>
      <c r="F5" s="12">
        <v>1830</v>
      </c>
      <c r="G5" s="13">
        <v>68364</v>
      </c>
      <c r="H5" s="26">
        <f t="shared" si="0"/>
        <v>9.7767713386448393E-2</v>
      </c>
      <c r="I5" s="27">
        <f t="shared" si="1"/>
        <v>0.1944326391840204</v>
      </c>
      <c r="J5" s="28">
        <f t="shared" si="2"/>
        <v>0.85879728006799827</v>
      </c>
      <c r="K5" s="28">
        <f t="shared" si="3"/>
        <v>4.416939890710383</v>
      </c>
      <c r="L5" s="26">
        <f t="shared" si="4"/>
        <v>7.4577508350859834</v>
      </c>
      <c r="M5" s="28">
        <f t="shared" si="5"/>
        <v>8.4577508350859834</v>
      </c>
      <c r="N5" s="29">
        <f t="shared" si="6"/>
        <v>-60281</v>
      </c>
      <c r="P5" s="1" t="s">
        <v>74</v>
      </c>
      <c r="Q5" s="14">
        <v>8.4008407968083676E-2</v>
      </c>
      <c r="R5" s="14">
        <v>0.31187280331074441</v>
      </c>
      <c r="S5" s="12">
        <v>15.063357208524685</v>
      </c>
      <c r="T5" s="12">
        <v>63.686196210558279</v>
      </c>
      <c r="U5" s="14">
        <v>0.77059947875484314</v>
      </c>
      <c r="V5" s="12">
        <v>1.7705994787548436</v>
      </c>
      <c r="X5" s="1" t="s">
        <v>74</v>
      </c>
      <c r="Y5" s="14">
        <v>8.4008407968083676E-2</v>
      </c>
      <c r="AA5" s="1" t="s">
        <v>75</v>
      </c>
      <c r="AB5" s="12">
        <v>28.057133818459846</v>
      </c>
    </row>
    <row r="6" spans="1:28" x14ac:dyDescent="0.35">
      <c r="A6" t="s">
        <v>47</v>
      </c>
      <c r="B6" t="s">
        <v>72</v>
      </c>
      <c r="C6" s="13">
        <v>34328</v>
      </c>
      <c r="D6" s="12">
        <v>70545</v>
      </c>
      <c r="E6" s="12">
        <v>7277</v>
      </c>
      <c r="F6" s="12">
        <v>1814</v>
      </c>
      <c r="G6" s="13">
        <v>74445</v>
      </c>
      <c r="H6" s="26">
        <f t="shared" si="0"/>
        <v>0.1031540151676235</v>
      </c>
      <c r="I6" s="27">
        <f t="shared" si="1"/>
        <v>0.24927854885254913</v>
      </c>
      <c r="J6" s="28">
        <f t="shared" si="2"/>
        <v>4.7173285694654394</v>
      </c>
      <c r="K6" s="28">
        <f t="shared" si="3"/>
        <v>18.923925027563396</v>
      </c>
      <c r="L6" s="26">
        <f t="shared" si="4"/>
        <v>1.1686378466557912</v>
      </c>
      <c r="M6" s="28">
        <f t="shared" si="5"/>
        <v>2.1686378466557912</v>
      </c>
      <c r="N6" s="29">
        <f t="shared" si="6"/>
        <v>-40117</v>
      </c>
      <c r="P6" s="1" t="s">
        <v>73</v>
      </c>
      <c r="Q6" s="14">
        <v>8.8269555151485865E-2</v>
      </c>
      <c r="R6" s="14">
        <v>0.83278360801372375</v>
      </c>
      <c r="S6" s="12">
        <v>14.845297882812563</v>
      </c>
      <c r="T6" s="12">
        <v>99.549119332524384</v>
      </c>
      <c r="U6" s="14">
        <v>0.92277838819353109</v>
      </c>
      <c r="V6" s="12">
        <v>1.9227783881935308</v>
      </c>
      <c r="X6" s="1" t="s">
        <v>72</v>
      </c>
      <c r="Y6" s="14">
        <v>6.4264098167303385E-2</v>
      </c>
      <c r="AA6" s="1" t="s">
        <v>72</v>
      </c>
      <c r="AB6" s="12">
        <v>56.695354396710705</v>
      </c>
    </row>
    <row r="7" spans="1:28" x14ac:dyDescent="0.35">
      <c r="A7" t="s">
        <v>48</v>
      </c>
      <c r="B7" t="s">
        <v>74</v>
      </c>
      <c r="C7" s="13">
        <v>47891</v>
      </c>
      <c r="D7" s="12">
        <v>49922</v>
      </c>
      <c r="E7" s="12">
        <v>8533</v>
      </c>
      <c r="F7" s="12">
        <v>1499</v>
      </c>
      <c r="G7" s="13">
        <v>79645</v>
      </c>
      <c r="H7" s="26">
        <f t="shared" si="0"/>
        <v>0.17092664556708465</v>
      </c>
      <c r="I7" s="27">
        <f t="shared" si="1"/>
        <v>0.17567092464549397</v>
      </c>
      <c r="J7" s="28">
        <f t="shared" si="2"/>
        <v>5.6124457986640106</v>
      </c>
      <c r="K7" s="28">
        <f t="shared" si="3"/>
        <v>31.948632421614409</v>
      </c>
      <c r="L7" s="26">
        <f t="shared" si="4"/>
        <v>0.66304733666033289</v>
      </c>
      <c r="M7" s="28">
        <f t="shared" si="5"/>
        <v>1.6630473366603329</v>
      </c>
      <c r="N7" s="29">
        <f t="shared" si="6"/>
        <v>-31754</v>
      </c>
      <c r="P7" s="1" t="s">
        <v>92</v>
      </c>
      <c r="Q7" s="14">
        <v>7.5158225737253656E-2</v>
      </c>
      <c r="R7" s="14">
        <v>0.48535330138615651</v>
      </c>
      <c r="S7" s="12">
        <v>14.239389275736633</v>
      </c>
      <c r="T7" s="12">
        <v>62.136767775840255</v>
      </c>
      <c r="U7" s="14">
        <v>0.75878459628673411</v>
      </c>
      <c r="V7" s="12">
        <v>1.7587845962867339</v>
      </c>
      <c r="X7" s="1" t="s">
        <v>75</v>
      </c>
      <c r="Y7" s="14">
        <v>6.2511296878079242E-2</v>
      </c>
      <c r="AA7" s="1" t="s">
        <v>74</v>
      </c>
      <c r="AB7" s="12">
        <v>63.686196210558279</v>
      </c>
    </row>
    <row r="8" spans="1:28" x14ac:dyDescent="0.35">
      <c r="A8" t="s">
        <v>49</v>
      </c>
      <c r="B8" t="s">
        <v>75</v>
      </c>
      <c r="C8" s="13">
        <v>25103</v>
      </c>
      <c r="D8" s="12">
        <v>52913</v>
      </c>
      <c r="E8" s="12">
        <v>3997</v>
      </c>
      <c r="F8" s="12">
        <v>779</v>
      </c>
      <c r="G8" s="13">
        <v>3023</v>
      </c>
      <c r="H8" s="26">
        <f t="shared" si="0"/>
        <v>7.553909247254928E-2</v>
      </c>
      <c r="I8" s="27">
        <f t="shared" si="1"/>
        <v>0.19489617212909682</v>
      </c>
      <c r="J8" s="28">
        <f t="shared" si="2"/>
        <v>6.2804603452589438</v>
      </c>
      <c r="K8" s="28">
        <f t="shared" si="3"/>
        <v>32.224646983311935</v>
      </c>
      <c r="L8" s="26">
        <f t="shared" si="4"/>
        <v>-0.87957614627733738</v>
      </c>
      <c r="M8" s="28">
        <f t="shared" si="5"/>
        <v>0.12042385372266264</v>
      </c>
      <c r="N8" s="29">
        <f t="shared" si="6"/>
        <v>22080</v>
      </c>
      <c r="X8" s="1" t="s">
        <v>92</v>
      </c>
      <c r="Y8" s="14">
        <v>7.5158225737253656E-2</v>
      </c>
      <c r="AA8" s="1" t="s">
        <v>73</v>
      </c>
      <c r="AB8" s="12">
        <v>99.549119332524384</v>
      </c>
    </row>
    <row r="9" spans="1:28" x14ac:dyDescent="0.35">
      <c r="A9" t="s">
        <v>50</v>
      </c>
      <c r="B9" t="s">
        <v>74</v>
      </c>
      <c r="C9" s="13">
        <v>44891</v>
      </c>
      <c r="D9" s="12">
        <v>107033</v>
      </c>
      <c r="E9" s="12">
        <v>8223</v>
      </c>
      <c r="F9" s="12">
        <v>550</v>
      </c>
      <c r="G9" s="13">
        <v>60796</v>
      </c>
      <c r="H9" s="26">
        <f t="shared" si="0"/>
        <v>7.6826773051301936E-2</v>
      </c>
      <c r="I9" s="27">
        <f t="shared" si="1"/>
        <v>6.6885564878997938E-2</v>
      </c>
      <c r="J9" s="28">
        <f t="shared" si="2"/>
        <v>5.4591998054238111</v>
      </c>
      <c r="K9" s="28">
        <f t="shared" si="3"/>
        <v>81.62</v>
      </c>
      <c r="L9" s="26">
        <f t="shared" si="4"/>
        <v>0.35430264418257557</v>
      </c>
      <c r="M9" s="28">
        <f t="shared" si="5"/>
        <v>1.3543026441825756</v>
      </c>
      <c r="N9" s="29">
        <f t="shared" si="6"/>
        <v>-15905</v>
      </c>
      <c r="P9" s="11" t="s">
        <v>149</v>
      </c>
      <c r="Q9" t="s">
        <v>144</v>
      </c>
      <c r="R9" t="s">
        <v>145</v>
      </c>
      <c r="S9" t="s">
        <v>146</v>
      </c>
      <c r="T9" t="s">
        <v>147</v>
      </c>
      <c r="U9" t="s">
        <v>148</v>
      </c>
      <c r="AA9" s="1" t="s">
        <v>92</v>
      </c>
      <c r="AB9" s="12">
        <v>62.136767775840255</v>
      </c>
    </row>
    <row r="10" spans="1:28" x14ac:dyDescent="0.35">
      <c r="A10" t="s">
        <v>51</v>
      </c>
      <c r="B10" t="s">
        <v>75</v>
      </c>
      <c r="C10" s="13">
        <v>15754</v>
      </c>
      <c r="D10" s="12">
        <v>114792</v>
      </c>
      <c r="E10" s="12">
        <v>2379</v>
      </c>
      <c r="F10" s="12">
        <v>222</v>
      </c>
      <c r="G10" s="13">
        <v>65429</v>
      </c>
      <c r="H10" s="26">
        <f t="shared" si="0"/>
        <v>2.0724440727576836E-2</v>
      </c>
      <c r="I10" s="27">
        <f t="shared" si="1"/>
        <v>9.3316519546027737E-2</v>
      </c>
      <c r="J10" s="28">
        <f t="shared" si="2"/>
        <v>6.6221101303068517</v>
      </c>
      <c r="K10" s="28">
        <f t="shared" si="3"/>
        <v>70.963963963963963</v>
      </c>
      <c r="L10" s="26">
        <f t="shared" si="4"/>
        <v>3.1531674495366255</v>
      </c>
      <c r="M10" s="28">
        <f>G10/C10</f>
        <v>4.1531674495366255</v>
      </c>
      <c r="N10" s="29">
        <f t="shared" si="6"/>
        <v>-49675</v>
      </c>
      <c r="P10" s="1" t="s">
        <v>75</v>
      </c>
      <c r="Q10" s="13">
        <v>577048</v>
      </c>
      <c r="R10" s="12">
        <v>3009682</v>
      </c>
      <c r="S10" s="12">
        <v>154316</v>
      </c>
      <c r="T10" s="12">
        <v>28146</v>
      </c>
      <c r="U10" s="23">
        <v>924732</v>
      </c>
      <c r="W10" s="11" t="s">
        <v>37</v>
      </c>
      <c r="X10" t="s">
        <v>162</v>
      </c>
    </row>
    <row r="11" spans="1:28" x14ac:dyDescent="0.35">
      <c r="A11" t="s">
        <v>52</v>
      </c>
      <c r="B11" t="s">
        <v>75</v>
      </c>
      <c r="C11" s="13">
        <v>39447</v>
      </c>
      <c r="D11" s="12">
        <v>196749</v>
      </c>
      <c r="E11" s="12">
        <v>9080</v>
      </c>
      <c r="F11" s="12">
        <v>472</v>
      </c>
      <c r="G11" s="13">
        <v>62627</v>
      </c>
      <c r="H11" s="26">
        <f t="shared" si="0"/>
        <v>4.6150171030094181E-2</v>
      </c>
      <c r="I11" s="27">
        <f t="shared" si="1"/>
        <v>5.1982378854625554E-2</v>
      </c>
      <c r="J11" s="28">
        <f t="shared" si="2"/>
        <v>4.3443832599118943</v>
      </c>
      <c r="K11" s="28">
        <f t="shared" si="3"/>
        <v>83.574152542372886</v>
      </c>
      <c r="L11" s="26">
        <f t="shared" si="4"/>
        <v>0.58762390042335289</v>
      </c>
      <c r="M11" s="28">
        <f t="shared" si="5"/>
        <v>1.5876239004233528</v>
      </c>
      <c r="N11" s="29">
        <f t="shared" si="6"/>
        <v>-23180</v>
      </c>
      <c r="P11" s="1" t="s">
        <v>72</v>
      </c>
      <c r="Q11" s="13">
        <v>679315</v>
      </c>
      <c r="R11" s="12">
        <v>2317368</v>
      </c>
      <c r="S11" s="12">
        <v>118895</v>
      </c>
      <c r="T11" s="12">
        <v>25200</v>
      </c>
      <c r="U11" s="23">
        <v>749214</v>
      </c>
      <c r="W11" s="1" t="s">
        <v>73</v>
      </c>
      <c r="X11" s="14">
        <v>0.83278360801372375</v>
      </c>
    </row>
    <row r="12" spans="1:28" x14ac:dyDescent="0.35">
      <c r="A12" t="s">
        <v>53</v>
      </c>
      <c r="B12" t="s">
        <v>75</v>
      </c>
      <c r="C12" s="13">
        <v>20901</v>
      </c>
      <c r="D12" s="12">
        <v>190913</v>
      </c>
      <c r="E12" s="12">
        <v>7551</v>
      </c>
      <c r="F12" s="12">
        <v>445</v>
      </c>
      <c r="G12" s="13">
        <v>34848</v>
      </c>
      <c r="H12" s="26">
        <f t="shared" si="0"/>
        <v>3.9552047267603571E-2</v>
      </c>
      <c r="I12" s="27">
        <f t="shared" si="1"/>
        <v>5.893259170970732E-2</v>
      </c>
      <c r="J12" s="28">
        <f t="shared" si="2"/>
        <v>2.7679777512912196</v>
      </c>
      <c r="K12" s="28">
        <f t="shared" si="3"/>
        <v>46.968539325842698</v>
      </c>
      <c r="L12" s="26">
        <f t="shared" si="4"/>
        <v>0.6672886464762452</v>
      </c>
      <c r="M12" s="28">
        <f t="shared" si="5"/>
        <v>1.6672886464762451</v>
      </c>
      <c r="N12" s="29">
        <f t="shared" si="6"/>
        <v>-13947</v>
      </c>
      <c r="P12" s="1" t="s">
        <v>74</v>
      </c>
      <c r="Q12" s="13">
        <v>810812</v>
      </c>
      <c r="R12" s="12">
        <v>2906157</v>
      </c>
      <c r="S12" s="12">
        <v>156267</v>
      </c>
      <c r="T12" s="12">
        <v>23966</v>
      </c>
      <c r="U12" s="23">
        <v>1070767</v>
      </c>
      <c r="W12" s="1" t="s">
        <v>72</v>
      </c>
      <c r="X12" s="14">
        <v>0.44976388913917342</v>
      </c>
    </row>
    <row r="13" spans="1:28" x14ac:dyDescent="0.35">
      <c r="A13" t="s">
        <v>54</v>
      </c>
      <c r="B13" t="s">
        <v>74</v>
      </c>
      <c r="C13" s="13">
        <v>38004</v>
      </c>
      <c r="D13" s="12">
        <v>187404</v>
      </c>
      <c r="E13" s="12">
        <v>9006</v>
      </c>
      <c r="F13" s="12">
        <v>292</v>
      </c>
      <c r="G13" s="13">
        <v>38804</v>
      </c>
      <c r="H13" s="26">
        <f t="shared" si="0"/>
        <v>4.8056604981750656E-2</v>
      </c>
      <c r="I13" s="27">
        <f t="shared" si="1"/>
        <v>3.242282922496114E-2</v>
      </c>
      <c r="J13" s="28">
        <f t="shared" si="2"/>
        <v>4.2198534310459692</v>
      </c>
      <c r="K13" s="28">
        <f t="shared" si="3"/>
        <v>130.15068493150685</v>
      </c>
      <c r="L13" s="26">
        <f t="shared" si="4"/>
        <v>2.1050415745710978E-2</v>
      </c>
      <c r="M13" s="28">
        <f t="shared" si="5"/>
        <v>1.021050415745711</v>
      </c>
      <c r="N13" s="29">
        <f t="shared" si="6"/>
        <v>-800</v>
      </c>
      <c r="P13" s="1" t="s">
        <v>73</v>
      </c>
      <c r="Q13" s="13">
        <v>701998</v>
      </c>
      <c r="R13" s="12">
        <v>2717914</v>
      </c>
      <c r="S13" s="12">
        <v>136944</v>
      </c>
      <c r="T13" s="12">
        <v>26055</v>
      </c>
      <c r="U13" s="23">
        <v>1081210</v>
      </c>
      <c r="W13" s="1" t="s">
        <v>75</v>
      </c>
      <c r="X13" s="14">
        <v>0.3580241919472591</v>
      </c>
    </row>
    <row r="14" spans="1:28" x14ac:dyDescent="0.35">
      <c r="A14" t="s">
        <v>55</v>
      </c>
      <c r="B14" t="s">
        <v>75</v>
      </c>
      <c r="C14" s="13">
        <v>12446</v>
      </c>
      <c r="D14" s="12">
        <v>129863</v>
      </c>
      <c r="E14" s="12">
        <v>875</v>
      </c>
      <c r="F14" s="12">
        <v>1595</v>
      </c>
      <c r="G14" s="13">
        <v>16379</v>
      </c>
      <c r="H14" s="26">
        <f t="shared" si="0"/>
        <v>6.7378699090580073E-3</v>
      </c>
      <c r="I14" s="27">
        <f t="shared" si="1"/>
        <v>1.822857142857143</v>
      </c>
      <c r="J14" s="28">
        <f t="shared" si="2"/>
        <v>14.224</v>
      </c>
      <c r="K14" s="28">
        <f t="shared" si="3"/>
        <v>7.8031347962382442</v>
      </c>
      <c r="L14" s="26">
        <f t="shared" si="4"/>
        <v>0.31600514221436604</v>
      </c>
      <c r="M14" s="28">
        <f t="shared" si="5"/>
        <v>1.3160051422143662</v>
      </c>
      <c r="N14" s="29">
        <f t="shared" si="6"/>
        <v>-3933</v>
      </c>
      <c r="P14" s="1" t="s">
        <v>92</v>
      </c>
      <c r="Q14" s="13">
        <v>2769173</v>
      </c>
      <c r="R14" s="12">
        <v>10951121</v>
      </c>
      <c r="S14" s="12">
        <v>566422</v>
      </c>
      <c r="T14" s="12">
        <v>103367</v>
      </c>
      <c r="U14" s="23">
        <v>3825923</v>
      </c>
      <c r="W14" s="1" t="s">
        <v>74</v>
      </c>
      <c r="X14" s="14">
        <v>0.31187280331074441</v>
      </c>
    </row>
    <row r="15" spans="1:28" x14ac:dyDescent="0.35">
      <c r="A15" t="s">
        <v>56</v>
      </c>
      <c r="B15" t="s">
        <v>74</v>
      </c>
      <c r="C15" s="13">
        <v>42211</v>
      </c>
      <c r="D15" s="12">
        <v>166104</v>
      </c>
      <c r="E15" s="12">
        <v>6969</v>
      </c>
      <c r="F15" s="12">
        <v>1640</v>
      </c>
      <c r="G15" s="13">
        <v>60664</v>
      </c>
      <c r="H15" s="26">
        <f t="shared" si="0"/>
        <v>4.1955642248230021E-2</v>
      </c>
      <c r="I15" s="27">
        <f t="shared" si="1"/>
        <v>0.23532788061414836</v>
      </c>
      <c r="J15" s="28">
        <f t="shared" si="2"/>
        <v>6.0569665662218393</v>
      </c>
      <c r="K15" s="28">
        <f t="shared" si="3"/>
        <v>25.738414634146341</v>
      </c>
      <c r="L15" s="26">
        <f t="shared" si="4"/>
        <v>0.43716092961550307</v>
      </c>
      <c r="M15" s="28">
        <f t="shared" si="5"/>
        <v>1.437160929615503</v>
      </c>
      <c r="N15" s="29">
        <f t="shared" si="6"/>
        <v>-18453</v>
      </c>
      <c r="W15" s="1" t="s">
        <v>92</v>
      </c>
      <c r="X15" s="14">
        <v>0.48535330138615651</v>
      </c>
    </row>
    <row r="16" spans="1:28" x14ac:dyDescent="0.35">
      <c r="A16" t="s">
        <v>57</v>
      </c>
      <c r="B16" t="s">
        <v>73</v>
      </c>
      <c r="C16" s="13">
        <v>34301</v>
      </c>
      <c r="D16" s="12">
        <v>178918</v>
      </c>
      <c r="E16" s="12">
        <v>2347</v>
      </c>
      <c r="F16" s="12">
        <v>1496</v>
      </c>
      <c r="G16" s="13">
        <v>28766</v>
      </c>
      <c r="H16" s="26">
        <f t="shared" si="0"/>
        <v>1.3117741088096223E-2</v>
      </c>
      <c r="I16" s="27">
        <f t="shared" si="1"/>
        <v>0.63740945888368128</v>
      </c>
      <c r="J16" s="28">
        <f t="shared" si="2"/>
        <v>14.614827439284193</v>
      </c>
      <c r="K16" s="28">
        <f t="shared" si="3"/>
        <v>22.928475935828878</v>
      </c>
      <c r="L16" s="26">
        <f t="shared" si="4"/>
        <v>-0.16136555785545612</v>
      </c>
      <c r="M16" s="28">
        <f t="shared" si="5"/>
        <v>0.83863444214454386</v>
      </c>
      <c r="N16" s="29">
        <f t="shared" si="6"/>
        <v>5535</v>
      </c>
      <c r="P16" s="11" t="s">
        <v>37</v>
      </c>
      <c r="Q16" t="s">
        <v>144</v>
      </c>
      <c r="R16" t="s">
        <v>148</v>
      </c>
    </row>
    <row r="17" spans="1:26" x14ac:dyDescent="0.35">
      <c r="A17" t="s">
        <v>58</v>
      </c>
      <c r="B17" t="s">
        <v>72</v>
      </c>
      <c r="C17" s="13">
        <v>31116</v>
      </c>
      <c r="D17" s="12">
        <v>54936</v>
      </c>
      <c r="E17" s="12">
        <v>7188</v>
      </c>
      <c r="F17" s="12">
        <v>1440</v>
      </c>
      <c r="G17" s="13">
        <v>69099</v>
      </c>
      <c r="H17" s="26">
        <f t="shared" si="0"/>
        <v>0.13084316295325471</v>
      </c>
      <c r="I17" s="27">
        <f t="shared" si="1"/>
        <v>0.20033388981636061</v>
      </c>
      <c r="J17" s="28">
        <f t="shared" si="2"/>
        <v>4.328881469115192</v>
      </c>
      <c r="K17" s="28">
        <f t="shared" si="3"/>
        <v>21.608333333333334</v>
      </c>
      <c r="L17" s="26">
        <f t="shared" si="4"/>
        <v>1.220690320092557</v>
      </c>
      <c r="M17" s="28">
        <f t="shared" si="5"/>
        <v>2.2206903200925567</v>
      </c>
      <c r="N17" s="29">
        <f t="shared" si="6"/>
        <v>-37983</v>
      </c>
      <c r="P17" s="1" t="s">
        <v>72</v>
      </c>
      <c r="Q17" s="13">
        <v>679315</v>
      </c>
      <c r="R17" s="23">
        <v>749214</v>
      </c>
      <c r="S17" s="13">
        <f>GETPIVOTDATA("Total Sales Generated",$P$16,"Channel","Search Ads")-GETPIVOTDATA("Total Spend",$P$16,"Channel","Search Ads")</f>
        <v>69899</v>
      </c>
      <c r="T17" s="1" t="s">
        <v>72</v>
      </c>
    </row>
    <row r="18" spans="1:26" x14ac:dyDescent="0.35">
      <c r="A18" t="s">
        <v>53</v>
      </c>
      <c r="B18" t="s">
        <v>72</v>
      </c>
      <c r="C18" s="13">
        <v>46323</v>
      </c>
      <c r="D18" s="12">
        <v>170866</v>
      </c>
      <c r="E18" s="12">
        <v>178</v>
      </c>
      <c r="F18" s="12">
        <v>97</v>
      </c>
      <c r="G18" s="13">
        <v>37060</v>
      </c>
      <c r="H18" s="26">
        <f t="shared" si="0"/>
        <v>1.0417520161998292E-3</v>
      </c>
      <c r="I18" s="27">
        <f t="shared" si="1"/>
        <v>0.5449438202247191</v>
      </c>
      <c r="J18" s="28">
        <f t="shared" si="2"/>
        <v>260.24157303370788</v>
      </c>
      <c r="K18" s="28">
        <f t="shared" si="3"/>
        <v>477.55670103092785</v>
      </c>
      <c r="L18" s="26">
        <f t="shared" si="4"/>
        <v>-0.19996545992271658</v>
      </c>
      <c r="M18" s="28">
        <f t="shared" si="5"/>
        <v>0.80003454007728347</v>
      </c>
      <c r="N18" s="29">
        <f t="shared" si="6"/>
        <v>9263</v>
      </c>
      <c r="P18" s="1" t="s">
        <v>75</v>
      </c>
      <c r="Q18" s="13">
        <v>577048</v>
      </c>
      <c r="R18" s="23">
        <v>924732</v>
      </c>
      <c r="S18" s="13">
        <f>GETPIVOTDATA("Total Sales Generated",$P$16,"Channel","Email")-GETPIVOTDATA("Total Spend",$P$16,"Channel","Email")</f>
        <v>347684</v>
      </c>
      <c r="T18" s="1" t="s">
        <v>75</v>
      </c>
    </row>
    <row r="19" spans="1:26" x14ac:dyDescent="0.35">
      <c r="A19" t="s">
        <v>59</v>
      </c>
      <c r="B19" t="s">
        <v>75</v>
      </c>
      <c r="C19" s="13">
        <v>23752</v>
      </c>
      <c r="D19" s="12">
        <v>191403</v>
      </c>
      <c r="E19" s="12">
        <v>8180</v>
      </c>
      <c r="F19" s="12">
        <v>1077</v>
      </c>
      <c r="G19" s="13">
        <v>70122</v>
      </c>
      <c r="H19" s="26">
        <f t="shared" si="0"/>
        <v>4.2737052188314709E-2</v>
      </c>
      <c r="I19" s="27">
        <f t="shared" si="1"/>
        <v>0.13166259168704156</v>
      </c>
      <c r="J19" s="28">
        <f t="shared" si="2"/>
        <v>2.9036674816625916</v>
      </c>
      <c r="K19" s="28">
        <f t="shared" si="3"/>
        <v>22.053853296193129</v>
      </c>
      <c r="L19" s="26">
        <f t="shared" si="4"/>
        <v>1.9522566520714044</v>
      </c>
      <c r="M19" s="28">
        <f t="shared" si="5"/>
        <v>2.9522566520714046</v>
      </c>
      <c r="N19" s="29">
        <f t="shared" si="6"/>
        <v>-46370</v>
      </c>
      <c r="P19" s="1" t="s">
        <v>74</v>
      </c>
      <c r="Q19" s="13">
        <v>810812</v>
      </c>
      <c r="R19" s="23">
        <v>1070767</v>
      </c>
      <c r="S19" s="13">
        <f>GETPIVOTDATA("Total Sales Generated",$P$16,"Channel","Social Media")-GETPIVOTDATA("Total Spend",$P$16,"Channel","Social Media")</f>
        <v>259955</v>
      </c>
      <c r="T19" s="1" t="s">
        <v>74</v>
      </c>
      <c r="X19" s="11" t="s">
        <v>37</v>
      </c>
      <c r="Y19" t="s">
        <v>165</v>
      </c>
      <c r="Z19" t="s">
        <v>166</v>
      </c>
    </row>
    <row r="20" spans="1:26" x14ac:dyDescent="0.35">
      <c r="A20" t="s">
        <v>60</v>
      </c>
      <c r="B20" t="s">
        <v>74</v>
      </c>
      <c r="C20" s="13">
        <v>37376</v>
      </c>
      <c r="D20" s="12">
        <v>38141</v>
      </c>
      <c r="E20" s="12">
        <v>7199</v>
      </c>
      <c r="F20" s="12">
        <v>470</v>
      </c>
      <c r="G20" s="13">
        <v>17087</v>
      </c>
      <c r="H20" s="26">
        <f t="shared" si="0"/>
        <v>0.18874701764505389</v>
      </c>
      <c r="I20" s="27">
        <f t="shared" si="1"/>
        <v>6.5286845395193777E-2</v>
      </c>
      <c r="J20" s="28">
        <f t="shared" si="2"/>
        <v>5.1918321989165159</v>
      </c>
      <c r="K20" s="28">
        <f t="shared" si="3"/>
        <v>79.52340425531915</v>
      </c>
      <c r="L20" s="26">
        <f t="shared" si="4"/>
        <v>-0.54283497431506844</v>
      </c>
      <c r="M20" s="28">
        <f t="shared" si="5"/>
        <v>0.4571650256849315</v>
      </c>
      <c r="N20" s="29">
        <f t="shared" si="6"/>
        <v>20289</v>
      </c>
      <c r="P20" s="1" t="s">
        <v>73</v>
      </c>
      <c r="Q20" s="13">
        <v>701998</v>
      </c>
      <c r="R20" s="23">
        <v>1081210</v>
      </c>
      <c r="S20" s="13">
        <f>GETPIVOTDATA("Total Sales Generated",$P$16,"Channel","TV")-GETPIVOTDATA("Total Spend",$P$16,"Channel","TV")</f>
        <v>379212</v>
      </c>
      <c r="T20" s="1" t="s">
        <v>73</v>
      </c>
      <c r="X20" s="1" t="s">
        <v>75</v>
      </c>
      <c r="Y20" s="13">
        <v>23081.919999999998</v>
      </c>
      <c r="Z20" s="13">
        <v>347684</v>
      </c>
    </row>
    <row r="21" spans="1:26" x14ac:dyDescent="0.35">
      <c r="A21" t="s">
        <v>54</v>
      </c>
      <c r="B21" t="s">
        <v>72</v>
      </c>
      <c r="C21" s="13">
        <v>21669</v>
      </c>
      <c r="D21" s="12">
        <v>150146</v>
      </c>
      <c r="E21" s="12">
        <v>4026</v>
      </c>
      <c r="F21" s="12">
        <v>287</v>
      </c>
      <c r="G21" s="13">
        <v>49868</v>
      </c>
      <c r="H21" s="26">
        <f t="shared" si="0"/>
        <v>2.6813901136227405E-2</v>
      </c>
      <c r="I21" s="27">
        <f t="shared" si="1"/>
        <v>7.1286636860407357E-2</v>
      </c>
      <c r="J21" s="28">
        <f t="shared" si="2"/>
        <v>5.3822652757078986</v>
      </c>
      <c r="K21" s="28">
        <f t="shared" si="3"/>
        <v>75.501742160278752</v>
      </c>
      <c r="L21" s="26">
        <f t="shared" si="4"/>
        <v>1.3013521620748534</v>
      </c>
      <c r="M21" s="28">
        <f t="shared" si="5"/>
        <v>2.3013521620748536</v>
      </c>
      <c r="N21" s="29">
        <f t="shared" si="6"/>
        <v>-28199</v>
      </c>
      <c r="P21" s="1" t="s">
        <v>92</v>
      </c>
      <c r="Q21" s="13">
        <v>2769173</v>
      </c>
      <c r="R21" s="23">
        <v>3825923</v>
      </c>
      <c r="X21" s="1" t="s">
        <v>72</v>
      </c>
      <c r="Y21" s="13">
        <v>29535.434782608696</v>
      </c>
      <c r="Z21" s="13">
        <v>69899</v>
      </c>
    </row>
    <row r="22" spans="1:26" x14ac:dyDescent="0.35">
      <c r="A22" t="s">
        <v>61</v>
      </c>
      <c r="B22" t="s">
        <v>74</v>
      </c>
      <c r="C22" s="13">
        <v>37916</v>
      </c>
      <c r="D22" s="12">
        <v>147478</v>
      </c>
      <c r="E22" s="12">
        <v>9147</v>
      </c>
      <c r="F22" s="12">
        <v>1716</v>
      </c>
      <c r="G22" s="13">
        <v>24225</v>
      </c>
      <c r="H22" s="26">
        <f t="shared" si="0"/>
        <v>6.2022810181857631E-2</v>
      </c>
      <c r="I22" s="27">
        <f t="shared" si="1"/>
        <v>0.18760249262053133</v>
      </c>
      <c r="J22" s="28">
        <f t="shared" si="2"/>
        <v>4.1451842134033017</v>
      </c>
      <c r="K22" s="28">
        <f t="shared" si="3"/>
        <v>22.095571095571096</v>
      </c>
      <c r="L22" s="26">
        <f t="shared" si="4"/>
        <v>-0.36108766747547211</v>
      </c>
      <c r="M22" s="28">
        <f t="shared" si="5"/>
        <v>0.63891233252452795</v>
      </c>
      <c r="N22" s="29">
        <f t="shared" si="6"/>
        <v>13691</v>
      </c>
      <c r="T22" s="11" t="s">
        <v>37</v>
      </c>
      <c r="U22" t="s">
        <v>152</v>
      </c>
      <c r="V22" t="s">
        <v>153</v>
      </c>
      <c r="X22" s="1" t="s">
        <v>74</v>
      </c>
      <c r="Y22" s="13">
        <v>30030.074074074073</v>
      </c>
      <c r="Z22" s="13">
        <v>259955</v>
      </c>
    </row>
    <row r="23" spans="1:26" x14ac:dyDescent="0.35">
      <c r="A23" t="s">
        <v>62</v>
      </c>
      <c r="B23" t="s">
        <v>74</v>
      </c>
      <c r="C23" s="13">
        <v>18395</v>
      </c>
      <c r="D23" s="12">
        <v>107359</v>
      </c>
      <c r="E23" s="12">
        <v>7440</v>
      </c>
      <c r="F23" s="12">
        <v>430</v>
      </c>
      <c r="G23" s="13">
        <v>7643</v>
      </c>
      <c r="H23" s="26">
        <f t="shared" si="0"/>
        <v>6.9300198399761551E-2</v>
      </c>
      <c r="I23" s="27">
        <f t="shared" si="1"/>
        <v>5.779569892473118E-2</v>
      </c>
      <c r="J23" s="28">
        <f t="shared" si="2"/>
        <v>2.47244623655914</v>
      </c>
      <c r="K23" s="28">
        <f t="shared" si="3"/>
        <v>42.779069767441861</v>
      </c>
      <c r="L23" s="26">
        <f t="shared" si="4"/>
        <v>-0.58450665941832014</v>
      </c>
      <c r="M23" s="28">
        <f t="shared" si="5"/>
        <v>0.4154933405816798</v>
      </c>
      <c r="N23" s="29">
        <f t="shared" si="6"/>
        <v>10752</v>
      </c>
      <c r="T23" s="1" t="s">
        <v>73</v>
      </c>
      <c r="U23" s="13">
        <v>701998</v>
      </c>
      <c r="V23" s="13">
        <v>1081210</v>
      </c>
      <c r="X23" s="1" t="s">
        <v>73</v>
      </c>
      <c r="Y23" s="13">
        <v>28079.919999999998</v>
      </c>
      <c r="Z23" s="13">
        <v>379212</v>
      </c>
    </row>
    <row r="24" spans="1:26" x14ac:dyDescent="0.35">
      <c r="A24" t="s">
        <v>63</v>
      </c>
      <c r="B24" t="s">
        <v>75</v>
      </c>
      <c r="C24" s="13">
        <v>25421</v>
      </c>
      <c r="D24" s="12">
        <v>133279</v>
      </c>
      <c r="E24" s="12">
        <v>7183</v>
      </c>
      <c r="F24" s="12">
        <v>1734</v>
      </c>
      <c r="G24" s="13">
        <v>37727</v>
      </c>
      <c r="H24" s="26">
        <f t="shared" si="0"/>
        <v>5.3894461993262255E-2</v>
      </c>
      <c r="I24" s="27">
        <f t="shared" si="1"/>
        <v>0.24140331337881107</v>
      </c>
      <c r="J24" s="28">
        <f t="shared" si="2"/>
        <v>3.5390505359877489</v>
      </c>
      <c r="K24" s="28">
        <f t="shared" si="3"/>
        <v>14.660322952710496</v>
      </c>
      <c r="L24" s="26">
        <f t="shared" si="4"/>
        <v>0.48408795877424177</v>
      </c>
      <c r="M24" s="28">
        <f t="shared" si="5"/>
        <v>1.4840879587742417</v>
      </c>
      <c r="N24" s="29">
        <f t="shared" si="6"/>
        <v>-12306</v>
      </c>
      <c r="T24" s="1" t="s">
        <v>74</v>
      </c>
      <c r="U24" s="13">
        <v>810812</v>
      </c>
      <c r="V24" s="13">
        <v>1070767</v>
      </c>
      <c r="X24" s="1" t="s">
        <v>92</v>
      </c>
      <c r="Y24" s="13">
        <v>27691.73</v>
      </c>
      <c r="Z24" s="13">
        <v>1056750</v>
      </c>
    </row>
    <row r="25" spans="1:26" x14ac:dyDescent="0.35">
      <c r="A25" t="s">
        <v>52</v>
      </c>
      <c r="B25" t="s">
        <v>72</v>
      </c>
      <c r="C25" s="13">
        <v>31342</v>
      </c>
      <c r="D25" s="12">
        <v>164363</v>
      </c>
      <c r="E25" s="12">
        <v>6330</v>
      </c>
      <c r="F25" s="12">
        <v>1386</v>
      </c>
      <c r="G25" s="13">
        <v>12005</v>
      </c>
      <c r="H25" s="26">
        <f t="shared" si="0"/>
        <v>3.8512317249015895E-2</v>
      </c>
      <c r="I25" s="27">
        <f t="shared" si="1"/>
        <v>0.21895734597156399</v>
      </c>
      <c r="J25" s="28">
        <f t="shared" si="2"/>
        <v>4.9513428120063194</v>
      </c>
      <c r="K25" s="28">
        <f t="shared" si="3"/>
        <v>22.613275613275615</v>
      </c>
      <c r="L25" s="26">
        <f t="shared" si="4"/>
        <v>-0.61696764724650632</v>
      </c>
      <c r="M25" s="28">
        <f t="shared" si="5"/>
        <v>0.38303235275349373</v>
      </c>
      <c r="N25" s="29">
        <f t="shared" si="6"/>
        <v>19337</v>
      </c>
      <c r="T25" s="1" t="s">
        <v>75</v>
      </c>
      <c r="U25" s="13">
        <v>577048</v>
      </c>
      <c r="V25" s="13">
        <v>924732</v>
      </c>
    </row>
    <row r="26" spans="1:26" x14ac:dyDescent="0.35">
      <c r="A26" t="s">
        <v>62</v>
      </c>
      <c r="B26" t="s">
        <v>75</v>
      </c>
      <c r="C26" s="13">
        <v>9895</v>
      </c>
      <c r="D26" s="12">
        <v>51568</v>
      </c>
      <c r="E26" s="12">
        <v>9323</v>
      </c>
      <c r="F26" s="12">
        <v>705</v>
      </c>
      <c r="G26" s="13">
        <v>66697</v>
      </c>
      <c r="H26" s="26">
        <f t="shared" si="0"/>
        <v>0.18079041265901336</v>
      </c>
      <c r="I26" s="27">
        <f t="shared" si="1"/>
        <v>7.5619435803925772E-2</v>
      </c>
      <c r="J26" s="28">
        <f t="shared" si="2"/>
        <v>1.0613536415316958</v>
      </c>
      <c r="K26" s="28">
        <f t="shared" si="3"/>
        <v>14.035460992907801</v>
      </c>
      <c r="L26" s="26">
        <f t="shared" si="4"/>
        <v>5.7404749873673575</v>
      </c>
      <c r="M26" s="28">
        <f t="shared" si="5"/>
        <v>6.7404749873673575</v>
      </c>
      <c r="N26" s="29">
        <f t="shared" si="6"/>
        <v>-56802</v>
      </c>
      <c r="T26" s="1" t="s">
        <v>72</v>
      </c>
      <c r="U26" s="13">
        <v>679315</v>
      </c>
      <c r="V26" s="13">
        <v>749214</v>
      </c>
    </row>
    <row r="27" spans="1:26" x14ac:dyDescent="0.35">
      <c r="A27" t="s">
        <v>58</v>
      </c>
      <c r="B27" t="s">
        <v>75</v>
      </c>
      <c r="C27" s="13">
        <v>16023</v>
      </c>
      <c r="D27" s="12">
        <v>107539</v>
      </c>
      <c r="E27" s="12">
        <v>5040</v>
      </c>
      <c r="F27" s="12">
        <v>524</v>
      </c>
      <c r="G27" s="13">
        <v>17029</v>
      </c>
      <c r="H27" s="26">
        <f t="shared" si="0"/>
        <v>4.6866718120867776E-2</v>
      </c>
      <c r="I27" s="27">
        <f t="shared" si="1"/>
        <v>0.10396825396825397</v>
      </c>
      <c r="J27" s="28">
        <f t="shared" si="2"/>
        <v>3.1791666666666667</v>
      </c>
      <c r="K27" s="28">
        <f t="shared" si="3"/>
        <v>30.578244274809162</v>
      </c>
      <c r="L27" s="26">
        <f t="shared" si="4"/>
        <v>6.2784746926293447E-2</v>
      </c>
      <c r="M27" s="28">
        <f t="shared" si="5"/>
        <v>1.0627847469262934</v>
      </c>
      <c r="N27" s="29">
        <f t="shared" si="6"/>
        <v>-1006</v>
      </c>
      <c r="T27" s="1" t="s">
        <v>92</v>
      </c>
      <c r="U27" s="13">
        <v>2769173</v>
      </c>
      <c r="V27" s="13">
        <v>3825923</v>
      </c>
    </row>
    <row r="28" spans="1:26" x14ac:dyDescent="0.35">
      <c r="A28" t="s">
        <v>62</v>
      </c>
      <c r="B28" t="s">
        <v>72</v>
      </c>
      <c r="C28" s="13">
        <v>15699</v>
      </c>
      <c r="D28" s="12">
        <v>56851</v>
      </c>
      <c r="E28" s="12">
        <v>3371</v>
      </c>
      <c r="F28" s="12">
        <v>712</v>
      </c>
      <c r="G28" s="13">
        <v>15226</v>
      </c>
      <c r="H28" s="26">
        <f t="shared" si="0"/>
        <v>5.9295351005259365E-2</v>
      </c>
      <c r="I28" s="27">
        <f t="shared" si="1"/>
        <v>0.21121328982497775</v>
      </c>
      <c r="J28" s="28">
        <f t="shared" si="2"/>
        <v>4.6570750519133792</v>
      </c>
      <c r="K28" s="28">
        <f t="shared" si="3"/>
        <v>22.049157303370787</v>
      </c>
      <c r="L28" s="26">
        <f t="shared" si="4"/>
        <v>-3.0129307599210141E-2</v>
      </c>
      <c r="M28" s="28">
        <f t="shared" si="5"/>
        <v>0.96987069240078982</v>
      </c>
      <c r="N28" s="29">
        <f t="shared" si="6"/>
        <v>473</v>
      </c>
    </row>
    <row r="29" spans="1:26" x14ac:dyDescent="0.35">
      <c r="A29" t="s">
        <v>64</v>
      </c>
      <c r="B29" t="s">
        <v>72</v>
      </c>
      <c r="C29" s="13">
        <v>14715</v>
      </c>
      <c r="D29" s="12">
        <v>64823</v>
      </c>
      <c r="E29" s="12">
        <v>3556</v>
      </c>
      <c r="F29" s="12">
        <v>1663</v>
      </c>
      <c r="G29" s="13">
        <v>64646</v>
      </c>
      <c r="H29" s="26">
        <f t="shared" si="0"/>
        <v>5.4857072335436498E-2</v>
      </c>
      <c r="I29" s="27">
        <f t="shared" si="1"/>
        <v>0.4676602924634421</v>
      </c>
      <c r="J29" s="28">
        <f t="shared" si="2"/>
        <v>4.1380764904386949</v>
      </c>
      <c r="K29" s="28">
        <f t="shared" si="3"/>
        <v>8.8484666265784728</v>
      </c>
      <c r="L29" s="26">
        <f t="shared" si="4"/>
        <v>3.3932042133876998</v>
      </c>
      <c r="M29" s="28">
        <f t="shared" si="5"/>
        <v>4.3932042133876994</v>
      </c>
      <c r="N29" s="29">
        <f t="shared" si="6"/>
        <v>-49931</v>
      </c>
    </row>
    <row r="30" spans="1:26" x14ac:dyDescent="0.35">
      <c r="A30" t="s">
        <v>57</v>
      </c>
      <c r="B30" t="s">
        <v>73</v>
      </c>
      <c r="C30" s="13">
        <v>24169</v>
      </c>
      <c r="D30" s="12">
        <v>33312</v>
      </c>
      <c r="E30" s="12">
        <v>7888</v>
      </c>
      <c r="F30" s="12">
        <v>28</v>
      </c>
      <c r="G30" s="13">
        <v>61603</v>
      </c>
      <c r="H30" s="26">
        <f t="shared" si="0"/>
        <v>0.23679154658981749</v>
      </c>
      <c r="I30" s="27">
        <f t="shared" si="1"/>
        <v>3.5496957403651115E-3</v>
      </c>
      <c r="J30" s="28">
        <f t="shared" si="2"/>
        <v>3.0640212981744424</v>
      </c>
      <c r="K30" s="28">
        <f t="shared" si="3"/>
        <v>863.17857142857144</v>
      </c>
      <c r="L30" s="26">
        <f t="shared" si="4"/>
        <v>1.5488435599321444</v>
      </c>
      <c r="M30" s="28">
        <f t="shared" si="5"/>
        <v>2.5488435599321444</v>
      </c>
      <c r="N30" s="29">
        <f t="shared" si="6"/>
        <v>-37434</v>
      </c>
      <c r="T30" s="11" t="s">
        <v>37</v>
      </c>
      <c r="U30" t="s">
        <v>151</v>
      </c>
      <c r="V30" t="s">
        <v>152</v>
      </c>
    </row>
    <row r="31" spans="1:26" x14ac:dyDescent="0.35">
      <c r="A31" t="s">
        <v>52</v>
      </c>
      <c r="B31" t="s">
        <v>73</v>
      </c>
      <c r="C31" s="13">
        <v>21163</v>
      </c>
      <c r="D31" s="12">
        <v>184180</v>
      </c>
      <c r="E31" s="12">
        <v>8699</v>
      </c>
      <c r="F31" s="12">
        <v>32</v>
      </c>
      <c r="G31" s="13">
        <v>29731</v>
      </c>
      <c r="H31" s="26">
        <f t="shared" si="0"/>
        <v>4.7230969703550875E-2</v>
      </c>
      <c r="I31" s="27">
        <f t="shared" si="1"/>
        <v>3.6785837452580758E-3</v>
      </c>
      <c r="J31" s="28">
        <f t="shared" si="2"/>
        <v>2.4328083687780206</v>
      </c>
      <c r="K31" s="28">
        <f t="shared" si="3"/>
        <v>661.34375</v>
      </c>
      <c r="L31" s="26">
        <f t="shared" si="4"/>
        <v>0.40485753437603367</v>
      </c>
      <c r="M31" s="28">
        <f t="shared" si="5"/>
        <v>1.4048575343760337</v>
      </c>
      <c r="N31" s="29">
        <f t="shared" si="6"/>
        <v>-8568</v>
      </c>
      <c r="T31" s="1" t="s">
        <v>74</v>
      </c>
      <c r="U31" s="13">
        <v>259955</v>
      </c>
      <c r="V31" s="13">
        <v>810812</v>
      </c>
    </row>
    <row r="32" spans="1:26" x14ac:dyDescent="0.35">
      <c r="A32" t="s">
        <v>46</v>
      </c>
      <c r="B32" t="s">
        <v>74</v>
      </c>
      <c r="C32" s="13">
        <v>10782</v>
      </c>
      <c r="D32" s="12">
        <v>175243</v>
      </c>
      <c r="E32" s="12">
        <v>7750</v>
      </c>
      <c r="F32" s="12">
        <v>422</v>
      </c>
      <c r="G32" s="13">
        <v>69926</v>
      </c>
      <c r="H32" s="26">
        <f t="shared" si="0"/>
        <v>4.4224305678400848E-2</v>
      </c>
      <c r="I32" s="27">
        <f t="shared" si="1"/>
        <v>5.4451612903225803E-2</v>
      </c>
      <c r="J32" s="28">
        <f t="shared" si="2"/>
        <v>1.391225806451613</v>
      </c>
      <c r="K32" s="28">
        <f t="shared" si="3"/>
        <v>25.549763033175356</v>
      </c>
      <c r="L32" s="26">
        <f t="shared" si="4"/>
        <v>5.4854386941198294</v>
      </c>
      <c r="M32" s="28">
        <f t="shared" si="5"/>
        <v>6.4854386941198294</v>
      </c>
      <c r="N32" s="29">
        <f t="shared" si="6"/>
        <v>-59144</v>
      </c>
      <c r="T32" s="1" t="s">
        <v>73</v>
      </c>
      <c r="U32" s="13">
        <v>379212</v>
      </c>
      <c r="V32" s="13">
        <v>701998</v>
      </c>
    </row>
    <row r="33" spans="1:25" x14ac:dyDescent="0.35">
      <c r="A33" t="s">
        <v>52</v>
      </c>
      <c r="B33" t="s">
        <v>72</v>
      </c>
      <c r="C33" s="13">
        <v>27641</v>
      </c>
      <c r="D33" s="12">
        <v>182851</v>
      </c>
      <c r="E33" s="12">
        <v>2811</v>
      </c>
      <c r="F33" s="12">
        <v>1063</v>
      </c>
      <c r="G33" s="13">
        <v>6997</v>
      </c>
      <c r="H33" s="26">
        <f t="shared" si="0"/>
        <v>1.5373172692520139E-2</v>
      </c>
      <c r="I33" s="27">
        <f t="shared" si="1"/>
        <v>0.37815723941657775</v>
      </c>
      <c r="J33" s="28">
        <f t="shared" si="2"/>
        <v>9.8331554606901452</v>
      </c>
      <c r="K33" s="28">
        <f t="shared" si="3"/>
        <v>26.002822201317027</v>
      </c>
      <c r="L33" s="26">
        <f t="shared" si="4"/>
        <v>-0.74686154625375345</v>
      </c>
      <c r="M33" s="28">
        <f t="shared" si="5"/>
        <v>0.25313845374624649</v>
      </c>
      <c r="N33" s="29">
        <f t="shared" si="6"/>
        <v>20644</v>
      </c>
      <c r="T33" s="1" t="s">
        <v>72</v>
      </c>
      <c r="U33" s="13">
        <v>69899</v>
      </c>
      <c r="V33" s="13">
        <v>679315</v>
      </c>
      <c r="W33" s="11" t="s">
        <v>37</v>
      </c>
      <c r="X33" t="s">
        <v>151</v>
      </c>
      <c r="Y33" t="s">
        <v>153</v>
      </c>
    </row>
    <row r="34" spans="1:25" x14ac:dyDescent="0.35">
      <c r="A34" t="s">
        <v>64</v>
      </c>
      <c r="B34" t="s">
        <v>73</v>
      </c>
      <c r="C34" s="13">
        <v>23792</v>
      </c>
      <c r="D34" s="12">
        <v>108723</v>
      </c>
      <c r="E34" s="12">
        <v>1768</v>
      </c>
      <c r="F34" s="12">
        <v>1840</v>
      </c>
      <c r="G34" s="13">
        <v>56506</v>
      </c>
      <c r="H34" s="26">
        <f t="shared" si="0"/>
        <v>1.6261508604435124E-2</v>
      </c>
      <c r="I34" s="27">
        <f t="shared" si="1"/>
        <v>1.0407239819004526</v>
      </c>
      <c r="J34" s="28">
        <f t="shared" ref="J34:J65" si="7">C34/E34</f>
        <v>13.457013574660634</v>
      </c>
      <c r="K34" s="28">
        <f t="shared" ref="K34:K65" si="8">C34/F34</f>
        <v>12.930434782608696</v>
      </c>
      <c r="L34" s="26">
        <f t="shared" si="4"/>
        <v>1.375</v>
      </c>
      <c r="M34" s="28">
        <f t="shared" ref="M34:M65" si="9">G34/C34</f>
        <v>2.375</v>
      </c>
      <c r="N34" s="29">
        <f t="shared" si="6"/>
        <v>-32714</v>
      </c>
      <c r="T34" s="1" t="s">
        <v>75</v>
      </c>
      <c r="U34" s="13">
        <v>347684</v>
      </c>
      <c r="V34" s="13">
        <v>577048</v>
      </c>
      <c r="W34" s="1" t="s">
        <v>73</v>
      </c>
      <c r="X34" s="13">
        <v>379212</v>
      </c>
      <c r="Y34" s="13">
        <v>1081210</v>
      </c>
    </row>
    <row r="35" spans="1:25" x14ac:dyDescent="0.35">
      <c r="A35" t="s">
        <v>53</v>
      </c>
      <c r="B35" t="s">
        <v>74</v>
      </c>
      <c r="C35" s="13">
        <v>40585</v>
      </c>
      <c r="D35" s="12">
        <v>22411</v>
      </c>
      <c r="E35" s="12">
        <v>247</v>
      </c>
      <c r="F35" s="12">
        <v>117</v>
      </c>
      <c r="G35" s="13">
        <v>79229</v>
      </c>
      <c r="H35" s="26">
        <f t="shared" si="0"/>
        <v>1.1021373432689304E-2</v>
      </c>
      <c r="I35" s="27">
        <f t="shared" si="1"/>
        <v>0.47368421052631576</v>
      </c>
      <c r="J35" s="28">
        <f t="shared" si="7"/>
        <v>164.31174089068827</v>
      </c>
      <c r="K35" s="28">
        <f t="shared" si="8"/>
        <v>346.88034188034186</v>
      </c>
      <c r="L35" s="26">
        <f t="shared" si="4"/>
        <v>0.95217444868793888</v>
      </c>
      <c r="M35" s="28">
        <f t="shared" si="9"/>
        <v>1.9521744486879389</v>
      </c>
      <c r="N35" s="29">
        <f t="shared" si="6"/>
        <v>-38644</v>
      </c>
      <c r="T35" s="1" t="s">
        <v>92</v>
      </c>
      <c r="U35" s="13">
        <v>1056750</v>
      </c>
      <c r="V35" s="13">
        <v>2769173</v>
      </c>
      <c r="W35" s="1" t="s">
        <v>74</v>
      </c>
      <c r="X35" s="13">
        <v>259955</v>
      </c>
      <c r="Y35" s="13">
        <v>1070767</v>
      </c>
    </row>
    <row r="36" spans="1:25" x14ac:dyDescent="0.35">
      <c r="A36" t="s">
        <v>43</v>
      </c>
      <c r="B36" t="s">
        <v>74</v>
      </c>
      <c r="C36" s="13">
        <v>35682</v>
      </c>
      <c r="D36" s="12">
        <v>67009</v>
      </c>
      <c r="E36" s="12">
        <v>6520</v>
      </c>
      <c r="F36" s="12">
        <v>1400</v>
      </c>
      <c r="G36" s="13">
        <v>50815</v>
      </c>
      <c r="H36" s="26">
        <f t="shared" si="0"/>
        <v>9.7300362637854618E-2</v>
      </c>
      <c r="I36" s="27">
        <f t="shared" si="1"/>
        <v>0.21472392638036811</v>
      </c>
      <c r="J36" s="28">
        <f t="shared" si="7"/>
        <v>5.4726993865030673</v>
      </c>
      <c r="K36" s="28">
        <f t="shared" si="8"/>
        <v>25.487142857142857</v>
      </c>
      <c r="L36" s="26">
        <f t="shared" si="4"/>
        <v>0.42410739308334733</v>
      </c>
      <c r="M36" s="28">
        <f t="shared" si="9"/>
        <v>1.4241073930833474</v>
      </c>
      <c r="N36" s="29">
        <f t="shared" si="6"/>
        <v>-15133</v>
      </c>
      <c r="W36" s="1" t="s">
        <v>75</v>
      </c>
      <c r="X36" s="13">
        <v>347684</v>
      </c>
      <c r="Y36" s="13">
        <v>924732</v>
      </c>
    </row>
    <row r="37" spans="1:25" x14ac:dyDescent="0.35">
      <c r="A37" t="s">
        <v>53</v>
      </c>
      <c r="B37" t="s">
        <v>74</v>
      </c>
      <c r="C37" s="13">
        <v>23880</v>
      </c>
      <c r="D37" s="12">
        <v>156494</v>
      </c>
      <c r="E37" s="12">
        <v>465</v>
      </c>
      <c r="F37" s="12">
        <v>1314</v>
      </c>
      <c r="G37" s="13">
        <v>43092</v>
      </c>
      <c r="H37" s="26">
        <f t="shared" si="0"/>
        <v>2.9713599243421473E-3</v>
      </c>
      <c r="I37" s="27">
        <f t="shared" si="1"/>
        <v>2.8258064516129031</v>
      </c>
      <c r="J37" s="28">
        <f t="shared" si="7"/>
        <v>51.354838709677416</v>
      </c>
      <c r="K37" s="28">
        <f t="shared" si="8"/>
        <v>18.173515981735161</v>
      </c>
      <c r="L37" s="26">
        <f t="shared" si="4"/>
        <v>0.80452261306532669</v>
      </c>
      <c r="M37" s="28">
        <f t="shared" si="9"/>
        <v>1.8045226130653267</v>
      </c>
      <c r="N37" s="29">
        <f t="shared" si="6"/>
        <v>-19212</v>
      </c>
      <c r="W37" s="1" t="s">
        <v>72</v>
      </c>
      <c r="X37" s="13">
        <v>69899</v>
      </c>
      <c r="Y37" s="13">
        <v>749214</v>
      </c>
    </row>
    <row r="38" spans="1:25" x14ac:dyDescent="0.35">
      <c r="A38" t="s">
        <v>65</v>
      </c>
      <c r="B38" t="s">
        <v>73</v>
      </c>
      <c r="C38" s="13">
        <v>43067</v>
      </c>
      <c r="D38" s="12">
        <v>183540</v>
      </c>
      <c r="E38" s="12">
        <v>9966</v>
      </c>
      <c r="F38" s="12">
        <v>1161</v>
      </c>
      <c r="G38" s="13">
        <v>63539</v>
      </c>
      <c r="H38" s="26">
        <f t="shared" si="0"/>
        <v>5.429879045439686E-2</v>
      </c>
      <c r="I38" s="27">
        <f t="shared" si="1"/>
        <v>0.11649608669476219</v>
      </c>
      <c r="J38" s="28">
        <f t="shared" si="7"/>
        <v>4.3213927353000203</v>
      </c>
      <c r="K38" s="28">
        <f t="shared" si="8"/>
        <v>37.094745908699394</v>
      </c>
      <c r="L38" s="26">
        <f t="shared" si="4"/>
        <v>0.47535235795388581</v>
      </c>
      <c r="M38" s="28">
        <f t="shared" si="9"/>
        <v>1.4753523579538859</v>
      </c>
      <c r="N38" s="29">
        <f t="shared" si="6"/>
        <v>-20472</v>
      </c>
      <c r="W38" s="1" t="s">
        <v>92</v>
      </c>
      <c r="X38" s="13">
        <v>1056750</v>
      </c>
      <c r="Y38" s="13">
        <v>3825923</v>
      </c>
    </row>
    <row r="39" spans="1:25" x14ac:dyDescent="0.35">
      <c r="A39" t="s">
        <v>62</v>
      </c>
      <c r="B39" t="s">
        <v>72</v>
      </c>
      <c r="C39" s="13">
        <v>47685</v>
      </c>
      <c r="D39" s="12">
        <v>42371</v>
      </c>
      <c r="E39" s="12">
        <v>4631</v>
      </c>
      <c r="F39" s="12">
        <v>1262</v>
      </c>
      <c r="G39" s="13">
        <v>67077</v>
      </c>
      <c r="H39" s="26">
        <f t="shared" si="0"/>
        <v>0.10929645276250266</v>
      </c>
      <c r="I39" s="27">
        <f t="shared" si="1"/>
        <v>0.27251133664435329</v>
      </c>
      <c r="J39" s="28">
        <f t="shared" si="7"/>
        <v>10.296912114014251</v>
      </c>
      <c r="K39" s="28">
        <f t="shared" si="8"/>
        <v>37.78526148969889</v>
      </c>
      <c r="L39" s="26">
        <f t="shared" si="4"/>
        <v>0.40666876376218936</v>
      </c>
      <c r="M39" s="28">
        <f t="shared" si="9"/>
        <v>1.4066687637621893</v>
      </c>
      <c r="N39" s="29">
        <f t="shared" si="6"/>
        <v>-19392</v>
      </c>
    </row>
    <row r="40" spans="1:25" x14ac:dyDescent="0.35">
      <c r="A40" t="s">
        <v>65</v>
      </c>
      <c r="B40" t="s">
        <v>75</v>
      </c>
      <c r="C40" s="13">
        <v>23073</v>
      </c>
      <c r="D40" s="12">
        <v>67022</v>
      </c>
      <c r="E40" s="12">
        <v>5430</v>
      </c>
      <c r="F40" s="12">
        <v>1144</v>
      </c>
      <c r="G40" s="13">
        <v>22817</v>
      </c>
      <c r="H40" s="26">
        <f t="shared" si="0"/>
        <v>8.1018173137178837E-2</v>
      </c>
      <c r="I40" s="27">
        <f t="shared" si="1"/>
        <v>0.21068139963167587</v>
      </c>
      <c r="J40" s="28">
        <f t="shared" si="7"/>
        <v>4.2491712707182323</v>
      </c>
      <c r="K40" s="28">
        <f t="shared" si="8"/>
        <v>20.168706293706293</v>
      </c>
      <c r="L40" s="26">
        <f t="shared" si="4"/>
        <v>-1.1095219520651844E-2</v>
      </c>
      <c r="M40" s="28">
        <f t="shared" si="9"/>
        <v>0.98890478047934816</v>
      </c>
      <c r="N40" s="29">
        <f t="shared" si="6"/>
        <v>256</v>
      </c>
    </row>
    <row r="41" spans="1:25" x14ac:dyDescent="0.35">
      <c r="A41" t="s">
        <v>66</v>
      </c>
      <c r="B41" t="s">
        <v>74</v>
      </c>
      <c r="C41" s="13">
        <v>41035</v>
      </c>
      <c r="D41" s="12">
        <v>81229</v>
      </c>
      <c r="E41" s="12">
        <v>5610</v>
      </c>
      <c r="F41" s="12">
        <v>145</v>
      </c>
      <c r="G41" s="13">
        <v>38861</v>
      </c>
      <c r="H41" s="26">
        <f t="shared" si="0"/>
        <v>6.9064004234940718E-2</v>
      </c>
      <c r="I41" s="27">
        <f t="shared" si="1"/>
        <v>2.5846702317290554E-2</v>
      </c>
      <c r="J41" s="28">
        <f t="shared" si="7"/>
        <v>7.3146167557932262</v>
      </c>
      <c r="K41" s="28">
        <f t="shared" si="8"/>
        <v>283</v>
      </c>
      <c r="L41" s="26">
        <f t="shared" si="4"/>
        <v>-5.2979164128183258E-2</v>
      </c>
      <c r="M41" s="28">
        <f t="shared" si="9"/>
        <v>0.94702083587181674</v>
      </c>
      <c r="N41" s="29">
        <f t="shared" si="6"/>
        <v>2174</v>
      </c>
    </row>
    <row r="42" spans="1:25" x14ac:dyDescent="0.35">
      <c r="A42" t="s">
        <v>63</v>
      </c>
      <c r="B42" t="s">
        <v>73</v>
      </c>
      <c r="C42" s="13">
        <v>42174</v>
      </c>
      <c r="D42" s="12">
        <v>109071</v>
      </c>
      <c r="E42" s="12">
        <v>8854</v>
      </c>
      <c r="F42" s="12">
        <v>371</v>
      </c>
      <c r="G42" s="13">
        <v>14428</v>
      </c>
      <c r="H42" s="26">
        <f t="shared" si="0"/>
        <v>8.1176481374517523E-2</v>
      </c>
      <c r="I42" s="27">
        <f t="shared" si="1"/>
        <v>4.1901965213462844E-2</v>
      </c>
      <c r="J42" s="28">
        <f t="shared" si="7"/>
        <v>4.7632708380393041</v>
      </c>
      <c r="K42" s="28">
        <f t="shared" si="8"/>
        <v>113.67654986522911</v>
      </c>
      <c r="L42" s="26">
        <f t="shared" si="4"/>
        <v>-0.65789348887940435</v>
      </c>
      <c r="M42" s="28">
        <f t="shared" si="9"/>
        <v>0.34210651112059565</v>
      </c>
      <c r="N42" s="29">
        <f t="shared" si="6"/>
        <v>27746</v>
      </c>
    </row>
    <row r="43" spans="1:25" x14ac:dyDescent="0.35">
      <c r="A43" t="s">
        <v>64</v>
      </c>
      <c r="B43" t="s">
        <v>73</v>
      </c>
      <c r="C43" s="13">
        <v>29837</v>
      </c>
      <c r="D43" s="12">
        <v>192268</v>
      </c>
      <c r="E43" s="12">
        <v>9064</v>
      </c>
      <c r="F43" s="12">
        <v>1219</v>
      </c>
      <c r="G43" s="13">
        <v>44934</v>
      </c>
      <c r="H43" s="26">
        <f t="shared" si="0"/>
        <v>4.7142530218237041E-2</v>
      </c>
      <c r="I43" s="27">
        <f t="shared" si="1"/>
        <v>0.13448808473080318</v>
      </c>
      <c r="J43" s="28">
        <f t="shared" si="7"/>
        <v>3.2918137687555165</v>
      </c>
      <c r="K43" s="28">
        <f t="shared" si="8"/>
        <v>24.476620180475798</v>
      </c>
      <c r="L43" s="26">
        <f t="shared" si="4"/>
        <v>0.50598250494352648</v>
      </c>
      <c r="M43" s="28">
        <f t="shared" si="9"/>
        <v>1.5059825049435265</v>
      </c>
      <c r="N43" s="29">
        <f t="shared" si="6"/>
        <v>-15097</v>
      </c>
    </row>
    <row r="44" spans="1:25" x14ac:dyDescent="0.35">
      <c r="A44" t="s">
        <v>58</v>
      </c>
      <c r="B44" t="s">
        <v>75</v>
      </c>
      <c r="C44" s="13">
        <v>22826</v>
      </c>
      <c r="D44" s="12">
        <v>106774</v>
      </c>
      <c r="E44" s="12">
        <v>6593</v>
      </c>
      <c r="F44" s="12">
        <v>1689</v>
      </c>
      <c r="G44" s="13">
        <v>11258</v>
      </c>
      <c r="H44" s="26">
        <f t="shared" si="0"/>
        <v>6.1747241837900611E-2</v>
      </c>
      <c r="I44" s="27">
        <f t="shared" si="1"/>
        <v>0.25618079781586534</v>
      </c>
      <c r="J44" s="28">
        <f t="shared" si="7"/>
        <v>3.4621568330047019</v>
      </c>
      <c r="K44" s="28">
        <f t="shared" si="8"/>
        <v>13.514505624629958</v>
      </c>
      <c r="L44" s="26">
        <f t="shared" si="4"/>
        <v>-0.50679050205905551</v>
      </c>
      <c r="M44" s="28">
        <f t="shared" si="9"/>
        <v>0.49320949794094454</v>
      </c>
      <c r="N44" s="29">
        <f t="shared" si="6"/>
        <v>11568</v>
      </c>
    </row>
    <row r="45" spans="1:25" x14ac:dyDescent="0.35">
      <c r="A45" t="s">
        <v>52</v>
      </c>
      <c r="B45" t="s">
        <v>75</v>
      </c>
      <c r="C45" s="13">
        <v>29981</v>
      </c>
      <c r="D45" s="12">
        <v>36715</v>
      </c>
      <c r="E45" s="12">
        <v>5539</v>
      </c>
      <c r="F45" s="12">
        <v>1617</v>
      </c>
      <c r="G45" s="13">
        <v>58775</v>
      </c>
      <c r="H45" s="26">
        <f t="shared" si="0"/>
        <v>0.15086476916791502</v>
      </c>
      <c r="I45" s="27">
        <f t="shared" si="1"/>
        <v>0.29192995125473914</v>
      </c>
      <c r="J45" s="28">
        <f t="shared" si="7"/>
        <v>5.4127098754287779</v>
      </c>
      <c r="K45" s="28">
        <f t="shared" si="8"/>
        <v>18.541125541125542</v>
      </c>
      <c r="L45" s="26">
        <f t="shared" si="4"/>
        <v>0.960408258563757</v>
      </c>
      <c r="M45" s="28">
        <f t="shared" si="9"/>
        <v>1.960408258563757</v>
      </c>
      <c r="N45" s="29">
        <f t="shared" si="6"/>
        <v>-28794</v>
      </c>
    </row>
    <row r="46" spans="1:25" x14ac:dyDescent="0.35">
      <c r="A46" t="s">
        <v>47</v>
      </c>
      <c r="B46" t="s">
        <v>73</v>
      </c>
      <c r="C46" s="13">
        <v>15382</v>
      </c>
      <c r="D46" s="12">
        <v>37605</v>
      </c>
      <c r="E46" s="12">
        <v>9865</v>
      </c>
      <c r="F46" s="12">
        <v>138</v>
      </c>
      <c r="G46" s="13">
        <v>6469</v>
      </c>
      <c r="H46" s="26">
        <f t="shared" si="0"/>
        <v>0.26233213668395161</v>
      </c>
      <c r="I46" s="27">
        <f t="shared" si="1"/>
        <v>1.398884946781551E-2</v>
      </c>
      <c r="J46" s="28">
        <f t="shared" si="7"/>
        <v>1.5592498732894069</v>
      </c>
      <c r="K46" s="28">
        <f t="shared" si="8"/>
        <v>111.46376811594203</v>
      </c>
      <c r="L46" s="26">
        <f t="shared" si="4"/>
        <v>-0.57944350539591727</v>
      </c>
      <c r="M46" s="28">
        <f t="shared" si="9"/>
        <v>0.42055649460408268</v>
      </c>
      <c r="N46" s="29">
        <f t="shared" si="6"/>
        <v>8913</v>
      </c>
    </row>
    <row r="47" spans="1:25" x14ac:dyDescent="0.35">
      <c r="A47" t="s">
        <v>45</v>
      </c>
      <c r="B47" t="s">
        <v>72</v>
      </c>
      <c r="C47" s="13">
        <v>9437</v>
      </c>
      <c r="D47" s="12">
        <v>109853</v>
      </c>
      <c r="E47" s="12">
        <v>6611</v>
      </c>
      <c r="F47" s="12">
        <v>1909</v>
      </c>
      <c r="G47" s="13">
        <v>29854</v>
      </c>
      <c r="H47" s="26">
        <f t="shared" si="0"/>
        <v>6.0180422928823064E-2</v>
      </c>
      <c r="I47" s="27">
        <f t="shared" si="1"/>
        <v>0.28876115564967481</v>
      </c>
      <c r="J47" s="28">
        <f t="shared" si="7"/>
        <v>1.4274693692330964</v>
      </c>
      <c r="K47" s="28">
        <f t="shared" si="8"/>
        <v>4.943425877422734</v>
      </c>
      <c r="L47" s="26">
        <f t="shared" si="4"/>
        <v>2.1635053512768887</v>
      </c>
      <c r="M47" s="28">
        <f t="shared" si="9"/>
        <v>3.1635053512768887</v>
      </c>
      <c r="N47" s="29">
        <f t="shared" si="6"/>
        <v>-20417</v>
      </c>
    </row>
    <row r="48" spans="1:25" x14ac:dyDescent="0.35">
      <c r="A48" t="s">
        <v>58</v>
      </c>
      <c r="B48" t="s">
        <v>75</v>
      </c>
      <c r="C48" s="13">
        <v>10435</v>
      </c>
      <c r="D48" s="12">
        <v>41174</v>
      </c>
      <c r="E48" s="12">
        <v>7604</v>
      </c>
      <c r="F48" s="12">
        <v>1294</v>
      </c>
      <c r="G48" s="13">
        <v>7256</v>
      </c>
      <c r="H48" s="26">
        <f t="shared" si="0"/>
        <v>0.18467965220770388</v>
      </c>
      <c r="I48" s="27">
        <f t="shared" si="1"/>
        <v>0.17017359284587061</v>
      </c>
      <c r="J48" s="28">
        <f t="shared" si="7"/>
        <v>1.372304050499737</v>
      </c>
      <c r="K48" s="28">
        <f t="shared" si="8"/>
        <v>8.0641421947449761</v>
      </c>
      <c r="L48" s="26">
        <f t="shared" si="4"/>
        <v>-0.30464781983708672</v>
      </c>
      <c r="M48" s="28">
        <f t="shared" si="9"/>
        <v>0.69535218016291322</v>
      </c>
      <c r="N48" s="29">
        <f t="shared" si="6"/>
        <v>3179</v>
      </c>
    </row>
    <row r="49" spans="1:14" x14ac:dyDescent="0.35">
      <c r="A49" t="s">
        <v>67</v>
      </c>
      <c r="B49" t="s">
        <v>73</v>
      </c>
      <c r="C49" s="13">
        <v>29819</v>
      </c>
      <c r="D49" s="12">
        <v>151028</v>
      </c>
      <c r="E49" s="12">
        <v>1346</v>
      </c>
      <c r="F49" s="12">
        <v>524</v>
      </c>
      <c r="G49" s="13">
        <v>77256</v>
      </c>
      <c r="H49" s="26">
        <f t="shared" si="0"/>
        <v>8.9122546812511593E-3</v>
      </c>
      <c r="I49" s="27">
        <f t="shared" si="1"/>
        <v>0.38930163447251115</v>
      </c>
      <c r="J49" s="28">
        <f t="shared" si="7"/>
        <v>22.153789004457654</v>
      </c>
      <c r="K49" s="28">
        <f t="shared" si="8"/>
        <v>56.906488549618324</v>
      </c>
      <c r="L49" s="26">
        <f t="shared" si="4"/>
        <v>1.5908313491398103</v>
      </c>
      <c r="M49" s="28">
        <f t="shared" si="9"/>
        <v>2.5908313491398101</v>
      </c>
      <c r="N49" s="29">
        <f t="shared" si="6"/>
        <v>-47437</v>
      </c>
    </row>
    <row r="50" spans="1:14" x14ac:dyDescent="0.35">
      <c r="A50" t="s">
        <v>65</v>
      </c>
      <c r="B50" t="s">
        <v>75</v>
      </c>
      <c r="C50" s="13">
        <v>41875</v>
      </c>
      <c r="D50" s="12">
        <v>86373</v>
      </c>
      <c r="E50" s="12">
        <v>3939</v>
      </c>
      <c r="F50" s="12">
        <v>458</v>
      </c>
      <c r="G50" s="13">
        <v>34937</v>
      </c>
      <c r="H50" s="26">
        <f t="shared" si="0"/>
        <v>4.5604529193150639E-2</v>
      </c>
      <c r="I50" s="27">
        <f t="shared" si="1"/>
        <v>0.11627316577811628</v>
      </c>
      <c r="J50" s="28">
        <f t="shared" si="7"/>
        <v>10.630870779385631</v>
      </c>
      <c r="K50" s="28">
        <f t="shared" si="8"/>
        <v>91.430131004366814</v>
      </c>
      <c r="L50" s="26">
        <f t="shared" si="4"/>
        <v>-0.16568358208955225</v>
      </c>
      <c r="M50" s="28">
        <f t="shared" si="9"/>
        <v>0.83431641791044775</v>
      </c>
      <c r="N50" s="29">
        <f t="shared" si="6"/>
        <v>6938</v>
      </c>
    </row>
    <row r="51" spans="1:14" x14ac:dyDescent="0.35">
      <c r="A51" t="s">
        <v>65</v>
      </c>
      <c r="B51" t="s">
        <v>72</v>
      </c>
      <c r="C51" s="13">
        <v>36982</v>
      </c>
      <c r="D51" s="12">
        <v>79252</v>
      </c>
      <c r="E51" s="12">
        <v>8651</v>
      </c>
      <c r="F51" s="12">
        <v>1933</v>
      </c>
      <c r="G51" s="13">
        <v>2651</v>
      </c>
      <c r="H51" s="26">
        <f t="shared" si="0"/>
        <v>0.10915812850148893</v>
      </c>
      <c r="I51" s="27">
        <f t="shared" si="1"/>
        <v>0.22344237660386082</v>
      </c>
      <c r="J51" s="28">
        <f t="shared" si="7"/>
        <v>4.2748815165876781</v>
      </c>
      <c r="K51" s="28">
        <f t="shared" si="8"/>
        <v>19.131919296430418</v>
      </c>
      <c r="L51" s="26">
        <f t="shared" si="4"/>
        <v>-0.92831647828673414</v>
      </c>
      <c r="M51" s="28">
        <f t="shared" si="9"/>
        <v>7.1683521713265919E-2</v>
      </c>
      <c r="N51" s="29">
        <f t="shared" si="6"/>
        <v>34331</v>
      </c>
    </row>
    <row r="52" spans="1:14" x14ac:dyDescent="0.35">
      <c r="A52" t="s">
        <v>68</v>
      </c>
      <c r="B52" t="s">
        <v>74</v>
      </c>
      <c r="C52" s="13">
        <v>38328</v>
      </c>
      <c r="D52" s="12">
        <v>80017</v>
      </c>
      <c r="E52" s="12">
        <v>2476</v>
      </c>
      <c r="F52" s="12">
        <v>1137</v>
      </c>
      <c r="G52" s="13">
        <v>51288</v>
      </c>
      <c r="H52" s="26">
        <f t="shared" si="0"/>
        <v>3.0943424522289015E-2</v>
      </c>
      <c r="I52" s="27">
        <f t="shared" si="1"/>
        <v>0.45920840064620355</v>
      </c>
      <c r="J52" s="28">
        <f t="shared" si="7"/>
        <v>15.479806138933764</v>
      </c>
      <c r="K52" s="28">
        <f t="shared" si="8"/>
        <v>33.709762532981529</v>
      </c>
      <c r="L52" s="26">
        <f t="shared" si="4"/>
        <v>0.33813400125234816</v>
      </c>
      <c r="M52" s="28">
        <f t="shared" si="9"/>
        <v>1.3381340012523482</v>
      </c>
      <c r="N52" s="29">
        <f t="shared" si="6"/>
        <v>-12960</v>
      </c>
    </row>
    <row r="53" spans="1:14" x14ac:dyDescent="0.35">
      <c r="A53" t="s">
        <v>65</v>
      </c>
      <c r="B53" t="s">
        <v>75</v>
      </c>
      <c r="C53" s="13">
        <v>17329</v>
      </c>
      <c r="D53" s="12">
        <v>73037</v>
      </c>
      <c r="E53" s="12">
        <v>3109</v>
      </c>
      <c r="F53" s="12">
        <v>1516</v>
      </c>
      <c r="G53" s="13">
        <v>26051</v>
      </c>
      <c r="H53" s="26">
        <f t="shared" si="0"/>
        <v>4.2567465805002945E-2</v>
      </c>
      <c r="I53" s="27">
        <f t="shared" si="1"/>
        <v>0.48761659697651977</v>
      </c>
      <c r="J53" s="28">
        <f t="shared" si="7"/>
        <v>5.5738179478932128</v>
      </c>
      <c r="K53" s="28">
        <f t="shared" si="8"/>
        <v>11.430738786279683</v>
      </c>
      <c r="L53" s="26">
        <f t="shared" si="4"/>
        <v>0.50331813722661434</v>
      </c>
      <c r="M53" s="28">
        <f t="shared" si="9"/>
        <v>1.5033181372266144</v>
      </c>
      <c r="N53" s="29">
        <f t="shared" si="6"/>
        <v>-8722</v>
      </c>
    </row>
    <row r="54" spans="1:14" x14ac:dyDescent="0.35">
      <c r="A54" t="s">
        <v>48</v>
      </c>
      <c r="B54" t="s">
        <v>72</v>
      </c>
      <c r="C54" s="13">
        <v>30169</v>
      </c>
      <c r="D54" s="12">
        <v>99818</v>
      </c>
      <c r="E54" s="12">
        <v>9254</v>
      </c>
      <c r="F54" s="12">
        <v>1257</v>
      </c>
      <c r="G54" s="13">
        <v>28386</v>
      </c>
      <c r="H54" s="26">
        <f t="shared" si="0"/>
        <v>9.2708729888396887E-2</v>
      </c>
      <c r="I54" s="27">
        <f t="shared" si="1"/>
        <v>0.13583315323103523</v>
      </c>
      <c r="J54" s="28">
        <f t="shared" si="7"/>
        <v>3.2601037389237089</v>
      </c>
      <c r="K54" s="28">
        <f t="shared" si="8"/>
        <v>24.000795544948289</v>
      </c>
      <c r="L54" s="26">
        <f t="shared" si="4"/>
        <v>-5.9100401073950079E-2</v>
      </c>
      <c r="M54" s="28">
        <f t="shared" si="9"/>
        <v>0.94089959892604991</v>
      </c>
      <c r="N54" s="29">
        <f t="shared" si="6"/>
        <v>1783</v>
      </c>
    </row>
    <row r="55" spans="1:14" x14ac:dyDescent="0.35">
      <c r="A55" t="s">
        <v>69</v>
      </c>
      <c r="B55" t="s">
        <v>73</v>
      </c>
      <c r="C55" s="13">
        <v>26932</v>
      </c>
      <c r="D55" s="12">
        <v>16548</v>
      </c>
      <c r="E55" s="12">
        <v>1927</v>
      </c>
      <c r="F55" s="12">
        <v>1865</v>
      </c>
      <c r="G55" s="13">
        <v>76054</v>
      </c>
      <c r="H55" s="26">
        <f t="shared" si="0"/>
        <v>0.11644911771815325</v>
      </c>
      <c r="I55" s="27">
        <f t="shared" si="1"/>
        <v>0.96782563570316549</v>
      </c>
      <c r="J55" s="28">
        <f t="shared" si="7"/>
        <v>13.976128697457188</v>
      </c>
      <c r="K55" s="28">
        <f t="shared" si="8"/>
        <v>14.440750670241286</v>
      </c>
      <c r="L55" s="26">
        <f t="shared" si="4"/>
        <v>1.8239269270755978</v>
      </c>
      <c r="M55" s="28">
        <f t="shared" si="9"/>
        <v>2.8239269270755978</v>
      </c>
      <c r="N55" s="29">
        <f t="shared" si="6"/>
        <v>-49122</v>
      </c>
    </row>
    <row r="56" spans="1:14" x14ac:dyDescent="0.35">
      <c r="A56" t="s">
        <v>59</v>
      </c>
      <c r="B56" t="s">
        <v>75</v>
      </c>
      <c r="C56" s="13">
        <v>39594</v>
      </c>
      <c r="D56" s="12">
        <v>126981</v>
      </c>
      <c r="E56" s="12">
        <v>7079</v>
      </c>
      <c r="F56" s="12">
        <v>883</v>
      </c>
      <c r="G56" s="13">
        <v>17184</v>
      </c>
      <c r="H56" s="26">
        <f t="shared" si="0"/>
        <v>5.5748497806758494E-2</v>
      </c>
      <c r="I56" s="27">
        <f t="shared" si="1"/>
        <v>0.12473513208080238</v>
      </c>
      <c r="J56" s="28">
        <f t="shared" si="7"/>
        <v>5.5931628761124452</v>
      </c>
      <c r="K56" s="28">
        <f t="shared" si="8"/>
        <v>44.840317100792753</v>
      </c>
      <c r="L56" s="26">
        <f t="shared" si="4"/>
        <v>-0.56599484770419761</v>
      </c>
      <c r="M56" s="28">
        <f t="shared" si="9"/>
        <v>0.43400515229580239</v>
      </c>
      <c r="N56" s="29">
        <f t="shared" si="6"/>
        <v>22410</v>
      </c>
    </row>
    <row r="57" spans="1:14" x14ac:dyDescent="0.35">
      <c r="A57" t="s">
        <v>69</v>
      </c>
      <c r="B57" t="s">
        <v>75</v>
      </c>
      <c r="C57" s="13">
        <v>16421</v>
      </c>
      <c r="D57" s="12">
        <v>164249</v>
      </c>
      <c r="E57" s="12">
        <v>9905</v>
      </c>
      <c r="F57" s="12">
        <v>1899</v>
      </c>
      <c r="G57" s="13">
        <v>34787</v>
      </c>
      <c r="H57" s="26">
        <f t="shared" si="0"/>
        <v>6.0304781155440822E-2</v>
      </c>
      <c r="I57" s="27">
        <f t="shared" si="1"/>
        <v>0.19172135285209491</v>
      </c>
      <c r="J57" s="28">
        <f t="shared" si="7"/>
        <v>1.6578495709237759</v>
      </c>
      <c r="K57" s="28">
        <f t="shared" si="8"/>
        <v>8.6471827277514475</v>
      </c>
      <c r="L57" s="26">
        <f t="shared" si="4"/>
        <v>1.1184458924547835</v>
      </c>
      <c r="M57" s="28">
        <f t="shared" si="9"/>
        <v>2.1184458924547833</v>
      </c>
      <c r="N57" s="29">
        <f t="shared" si="6"/>
        <v>-18366</v>
      </c>
    </row>
    <row r="58" spans="1:14" x14ac:dyDescent="0.35">
      <c r="A58" t="s">
        <v>47</v>
      </c>
      <c r="B58" t="s">
        <v>73</v>
      </c>
      <c r="C58" s="13">
        <v>12629</v>
      </c>
      <c r="D58" s="12">
        <v>34022</v>
      </c>
      <c r="E58" s="12">
        <v>9932</v>
      </c>
      <c r="F58" s="12">
        <v>1524</v>
      </c>
      <c r="G58" s="13">
        <v>22621</v>
      </c>
      <c r="H58" s="26">
        <f t="shared" si="0"/>
        <v>0.29192875198401036</v>
      </c>
      <c r="I58" s="27">
        <f t="shared" si="1"/>
        <v>0.15344341522351992</v>
      </c>
      <c r="J58" s="28">
        <f t="shared" si="7"/>
        <v>1.2715465163109143</v>
      </c>
      <c r="K58" s="28">
        <f t="shared" si="8"/>
        <v>8.2867454068241475</v>
      </c>
      <c r="L58" s="26">
        <f t="shared" si="4"/>
        <v>0.79119486895241109</v>
      </c>
      <c r="M58" s="28">
        <f t="shared" si="9"/>
        <v>1.7911948689524111</v>
      </c>
      <c r="N58" s="29">
        <f t="shared" si="6"/>
        <v>-9992</v>
      </c>
    </row>
    <row r="59" spans="1:14" x14ac:dyDescent="0.35">
      <c r="A59" t="s">
        <v>52</v>
      </c>
      <c r="B59" t="s">
        <v>74</v>
      </c>
      <c r="C59" s="13">
        <v>13325</v>
      </c>
      <c r="D59" s="12">
        <v>116297</v>
      </c>
      <c r="E59" s="12">
        <v>8669</v>
      </c>
      <c r="F59" s="12">
        <v>482</v>
      </c>
      <c r="G59" s="13">
        <v>76564</v>
      </c>
      <c r="H59" s="26">
        <f t="shared" si="0"/>
        <v>7.4541905638150593E-2</v>
      </c>
      <c r="I59" s="27">
        <f t="shared" si="1"/>
        <v>5.5600415272811163E-2</v>
      </c>
      <c r="J59" s="28">
        <f t="shared" si="7"/>
        <v>1.5370861691083171</v>
      </c>
      <c r="K59" s="28">
        <f t="shared" si="8"/>
        <v>27.645228215767634</v>
      </c>
      <c r="L59" s="26">
        <f t="shared" si="4"/>
        <v>4.7458911819887426</v>
      </c>
      <c r="M59" s="28">
        <f t="shared" si="9"/>
        <v>5.7458911819887426</v>
      </c>
      <c r="N59" s="29">
        <f t="shared" si="6"/>
        <v>-63239</v>
      </c>
    </row>
    <row r="60" spans="1:14" x14ac:dyDescent="0.35">
      <c r="A60" t="s">
        <v>64</v>
      </c>
      <c r="B60" t="s">
        <v>73</v>
      </c>
      <c r="C60" s="13">
        <v>33495</v>
      </c>
      <c r="D60" s="12">
        <v>146614</v>
      </c>
      <c r="E60" s="12">
        <v>4385</v>
      </c>
      <c r="F60" s="12">
        <v>1043</v>
      </c>
      <c r="G60" s="13">
        <v>78984</v>
      </c>
      <c r="H60" s="26">
        <f t="shared" si="0"/>
        <v>2.9908467131378996E-2</v>
      </c>
      <c r="I60" s="27">
        <f t="shared" si="1"/>
        <v>0.2378563283922463</v>
      </c>
      <c r="J60" s="28">
        <f t="shared" si="7"/>
        <v>7.6385404789053588</v>
      </c>
      <c r="K60" s="28">
        <f t="shared" si="8"/>
        <v>32.114093959731541</v>
      </c>
      <c r="L60" s="26">
        <f t="shared" si="4"/>
        <v>1.3580832960143305</v>
      </c>
      <c r="M60" s="28">
        <f t="shared" si="9"/>
        <v>2.3580832960143305</v>
      </c>
      <c r="N60" s="29">
        <f t="shared" si="6"/>
        <v>-45489</v>
      </c>
    </row>
    <row r="61" spans="1:14" x14ac:dyDescent="0.35">
      <c r="A61" t="s">
        <v>59</v>
      </c>
      <c r="B61" t="s">
        <v>75</v>
      </c>
      <c r="C61" s="13">
        <v>36750</v>
      </c>
      <c r="D61" s="12">
        <v>70428</v>
      </c>
      <c r="E61" s="12">
        <v>7010</v>
      </c>
      <c r="F61" s="12">
        <v>1438</v>
      </c>
      <c r="G61" s="13">
        <v>60792</v>
      </c>
      <c r="H61" s="26">
        <f t="shared" si="0"/>
        <v>9.9534276140171518E-2</v>
      </c>
      <c r="I61" s="27">
        <f t="shared" si="1"/>
        <v>0.20513552068473609</v>
      </c>
      <c r="J61" s="28">
        <f t="shared" si="7"/>
        <v>5.2425106990014267</v>
      </c>
      <c r="K61" s="28">
        <f t="shared" si="8"/>
        <v>25.556328233657858</v>
      </c>
      <c r="L61" s="26">
        <f t="shared" si="4"/>
        <v>0.65420408163265309</v>
      </c>
      <c r="M61" s="28">
        <f t="shared" si="9"/>
        <v>1.6542040816326531</v>
      </c>
      <c r="N61" s="29">
        <f t="shared" si="6"/>
        <v>-24042</v>
      </c>
    </row>
    <row r="62" spans="1:14" x14ac:dyDescent="0.35">
      <c r="A62" t="s">
        <v>60</v>
      </c>
      <c r="B62" t="s">
        <v>73</v>
      </c>
      <c r="C62" s="13">
        <v>34619</v>
      </c>
      <c r="D62" s="12">
        <v>163812</v>
      </c>
      <c r="E62" s="12">
        <v>8661</v>
      </c>
      <c r="F62" s="12">
        <v>1929</v>
      </c>
      <c r="G62" s="13">
        <v>46253</v>
      </c>
      <c r="H62" s="26">
        <f t="shared" si="0"/>
        <v>5.2871584499304083E-2</v>
      </c>
      <c r="I62" s="27">
        <f t="shared" si="1"/>
        <v>0.22272254935919639</v>
      </c>
      <c r="J62" s="28">
        <f t="shared" si="7"/>
        <v>3.9971134972866875</v>
      </c>
      <c r="K62" s="28">
        <f t="shared" si="8"/>
        <v>17.946604458268531</v>
      </c>
      <c r="L62" s="26">
        <f t="shared" si="4"/>
        <v>0.33605823391779083</v>
      </c>
      <c r="M62" s="28">
        <f t="shared" si="9"/>
        <v>1.3360582339177909</v>
      </c>
      <c r="N62" s="29">
        <f t="shared" si="6"/>
        <v>-11634</v>
      </c>
    </row>
    <row r="63" spans="1:14" x14ac:dyDescent="0.35">
      <c r="A63" t="s">
        <v>46</v>
      </c>
      <c r="B63" t="s">
        <v>72</v>
      </c>
      <c r="C63" s="13">
        <v>45461</v>
      </c>
      <c r="D63" s="12">
        <v>69353</v>
      </c>
      <c r="E63" s="12">
        <v>2296</v>
      </c>
      <c r="F63" s="12">
        <v>311</v>
      </c>
      <c r="G63" s="13">
        <v>35051</v>
      </c>
      <c r="H63" s="26">
        <f t="shared" si="0"/>
        <v>3.3105993972863464E-2</v>
      </c>
      <c r="I63" s="27">
        <f t="shared" si="1"/>
        <v>0.13545296167247386</v>
      </c>
      <c r="J63" s="28">
        <f t="shared" si="7"/>
        <v>19.800087108013937</v>
      </c>
      <c r="K63" s="28">
        <f t="shared" si="8"/>
        <v>146.17684887459808</v>
      </c>
      <c r="L63" s="26">
        <f t="shared" si="4"/>
        <v>-0.22898748377730363</v>
      </c>
      <c r="M63" s="28">
        <f t="shared" si="9"/>
        <v>0.7710125162226964</v>
      </c>
      <c r="N63" s="29">
        <f t="shared" si="6"/>
        <v>10410</v>
      </c>
    </row>
    <row r="64" spans="1:14" x14ac:dyDescent="0.35">
      <c r="A64" t="s">
        <v>52</v>
      </c>
      <c r="B64" t="s">
        <v>73</v>
      </c>
      <c r="C64" s="13">
        <v>13264</v>
      </c>
      <c r="D64" s="12">
        <v>123132</v>
      </c>
      <c r="E64" s="12">
        <v>3847</v>
      </c>
      <c r="F64" s="12">
        <v>240</v>
      </c>
      <c r="G64" s="13">
        <v>50811</v>
      </c>
      <c r="H64" s="26">
        <f t="shared" si="0"/>
        <v>3.1242893805022251E-2</v>
      </c>
      <c r="I64" s="27">
        <f t="shared" si="1"/>
        <v>6.2386275019495709E-2</v>
      </c>
      <c r="J64" s="28">
        <f t="shared" si="7"/>
        <v>3.447881466077463</v>
      </c>
      <c r="K64" s="28">
        <f t="shared" si="8"/>
        <v>55.266666666666666</v>
      </c>
      <c r="L64" s="26">
        <f t="shared" si="4"/>
        <v>2.8307448733413754</v>
      </c>
      <c r="M64" s="28">
        <f t="shared" si="9"/>
        <v>3.8307448733413754</v>
      </c>
      <c r="N64" s="29">
        <f t="shared" si="6"/>
        <v>-37547</v>
      </c>
    </row>
    <row r="65" spans="1:14" x14ac:dyDescent="0.35">
      <c r="A65" t="s">
        <v>50</v>
      </c>
      <c r="B65" t="s">
        <v>75</v>
      </c>
      <c r="C65" s="13">
        <v>17686</v>
      </c>
      <c r="D65" s="12">
        <v>197604</v>
      </c>
      <c r="E65" s="12">
        <v>8943</v>
      </c>
      <c r="F65" s="12">
        <v>1764</v>
      </c>
      <c r="G65" s="13">
        <v>31447</v>
      </c>
      <c r="H65" s="26">
        <f t="shared" si="0"/>
        <v>4.5257181028724114E-2</v>
      </c>
      <c r="I65" s="27">
        <f t="shared" si="1"/>
        <v>0.19724924521972492</v>
      </c>
      <c r="J65" s="28">
        <f t="shared" si="7"/>
        <v>1.9776361399977636</v>
      </c>
      <c r="K65" s="28">
        <f t="shared" si="8"/>
        <v>10.026077097505668</v>
      </c>
      <c r="L65" s="26">
        <f t="shared" si="4"/>
        <v>0.77807305213162958</v>
      </c>
      <c r="M65" s="28">
        <f t="shared" si="9"/>
        <v>1.7780730521316295</v>
      </c>
      <c r="N65" s="29">
        <f t="shared" si="6"/>
        <v>-13761</v>
      </c>
    </row>
    <row r="66" spans="1:14" x14ac:dyDescent="0.35">
      <c r="A66" t="s">
        <v>64</v>
      </c>
      <c r="B66" t="s">
        <v>73</v>
      </c>
      <c r="C66" s="13">
        <v>29226</v>
      </c>
      <c r="D66" s="12">
        <v>26052</v>
      </c>
      <c r="E66" s="12">
        <v>6078</v>
      </c>
      <c r="F66" s="12">
        <v>932</v>
      </c>
      <c r="G66" s="13">
        <v>31254</v>
      </c>
      <c r="H66" s="26">
        <f t="shared" ref="H66:H101" si="10">(E66/D66)</f>
        <v>0.23330262551819439</v>
      </c>
      <c r="I66" s="27">
        <f t="shared" ref="I66:I101" si="11">F66/E66</f>
        <v>0.15333991444554129</v>
      </c>
      <c r="J66" s="28">
        <f t="shared" ref="J66:J101" si="12">C66/E66</f>
        <v>4.8084896347482724</v>
      </c>
      <c r="K66" s="28">
        <f t="shared" ref="K66:K101" si="13">C66/F66</f>
        <v>31.358369098712448</v>
      </c>
      <c r="L66" s="26">
        <f t="shared" ref="L66:L101" si="14">(G66-C66)/C66</f>
        <v>6.9390268938616301E-2</v>
      </c>
      <c r="M66" s="28">
        <f t="shared" ref="M66:M101" si="15">G66/C66</f>
        <v>1.0693902689386163</v>
      </c>
      <c r="N66" s="29">
        <f t="shared" ref="N66:N101" si="16">C66-G66</f>
        <v>-2028</v>
      </c>
    </row>
    <row r="67" spans="1:14" x14ac:dyDescent="0.35">
      <c r="A67" t="s">
        <v>51</v>
      </c>
      <c r="B67" t="s">
        <v>74</v>
      </c>
      <c r="C67" s="13">
        <v>11721</v>
      </c>
      <c r="D67" s="12">
        <v>110689</v>
      </c>
      <c r="E67" s="12">
        <v>5707</v>
      </c>
      <c r="F67" s="12">
        <v>1099</v>
      </c>
      <c r="G67" s="13">
        <v>58418</v>
      </c>
      <c r="H67" s="26">
        <f t="shared" si="10"/>
        <v>5.1558872155318056E-2</v>
      </c>
      <c r="I67" s="27">
        <f t="shared" si="11"/>
        <v>0.19257052742246364</v>
      </c>
      <c r="J67" s="28">
        <f t="shared" si="12"/>
        <v>2.0537935868231996</v>
      </c>
      <c r="K67" s="28">
        <f t="shared" si="13"/>
        <v>10.665150136487716</v>
      </c>
      <c r="L67" s="26">
        <f t="shared" si="14"/>
        <v>3.9840457298865286</v>
      </c>
      <c r="M67" s="28">
        <f t="shared" si="15"/>
        <v>4.9840457298865282</v>
      </c>
      <c r="N67" s="29">
        <f t="shared" si="16"/>
        <v>-46697</v>
      </c>
    </row>
    <row r="68" spans="1:14" x14ac:dyDescent="0.35">
      <c r="A68" t="s">
        <v>57</v>
      </c>
      <c r="B68" t="s">
        <v>73</v>
      </c>
      <c r="C68" s="13">
        <v>25609</v>
      </c>
      <c r="D68" s="12">
        <v>188148</v>
      </c>
      <c r="E68" s="12">
        <v>869</v>
      </c>
      <c r="F68" s="12">
        <v>946</v>
      </c>
      <c r="G68" s="13">
        <v>15472</v>
      </c>
      <c r="H68" s="26">
        <f t="shared" si="10"/>
        <v>4.6187044241767124E-3</v>
      </c>
      <c r="I68" s="27">
        <f t="shared" si="11"/>
        <v>1.0886075949367089</v>
      </c>
      <c r="J68" s="28">
        <f t="shared" si="12"/>
        <v>29.469505178365939</v>
      </c>
      <c r="K68" s="28">
        <f t="shared" si="13"/>
        <v>27.070824524312897</v>
      </c>
      <c r="L68" s="26">
        <f t="shared" si="14"/>
        <v>-0.39583740091374126</v>
      </c>
      <c r="M68" s="28">
        <f t="shared" si="15"/>
        <v>0.60416259908625869</v>
      </c>
      <c r="N68" s="29">
        <f t="shared" si="16"/>
        <v>10137</v>
      </c>
    </row>
    <row r="69" spans="1:14" x14ac:dyDescent="0.35">
      <c r="A69" t="s">
        <v>59</v>
      </c>
      <c r="B69" t="s">
        <v>74</v>
      </c>
      <c r="C69" s="13">
        <v>12373</v>
      </c>
      <c r="D69" s="12">
        <v>194492</v>
      </c>
      <c r="E69" s="12">
        <v>880</v>
      </c>
      <c r="F69" s="12">
        <v>121</v>
      </c>
      <c r="G69" s="13">
        <v>4471</v>
      </c>
      <c r="H69" s="26">
        <f t="shared" si="10"/>
        <v>4.524607695946363E-3</v>
      </c>
      <c r="I69" s="27">
        <f t="shared" si="11"/>
        <v>0.13750000000000001</v>
      </c>
      <c r="J69" s="28">
        <f t="shared" si="12"/>
        <v>14.060227272727273</v>
      </c>
      <c r="K69" s="28">
        <f t="shared" si="13"/>
        <v>102.25619834710744</v>
      </c>
      <c r="L69" s="26">
        <f t="shared" si="14"/>
        <v>-0.63864867049220075</v>
      </c>
      <c r="M69" s="28">
        <f t="shared" si="15"/>
        <v>0.36135132950779925</v>
      </c>
      <c r="N69" s="29">
        <f t="shared" si="16"/>
        <v>7902</v>
      </c>
    </row>
    <row r="70" spans="1:14" x14ac:dyDescent="0.35">
      <c r="A70" t="s">
        <v>45</v>
      </c>
      <c r="B70" t="s">
        <v>72</v>
      </c>
      <c r="C70" s="13">
        <v>43675</v>
      </c>
      <c r="D70" s="12">
        <v>141743</v>
      </c>
      <c r="E70" s="12">
        <v>6403</v>
      </c>
      <c r="F70" s="12">
        <v>1046</v>
      </c>
      <c r="G70" s="13">
        <v>9329</v>
      </c>
      <c r="H70" s="26">
        <f t="shared" si="10"/>
        <v>4.5173306618316249E-2</v>
      </c>
      <c r="I70" s="27">
        <f t="shared" si="11"/>
        <v>0.16336092456660939</v>
      </c>
      <c r="J70" s="28">
        <f t="shared" si="12"/>
        <v>6.8210213962205213</v>
      </c>
      <c r="K70" s="28">
        <f t="shared" si="13"/>
        <v>41.754302103250481</v>
      </c>
      <c r="L70" s="26">
        <f t="shared" si="14"/>
        <v>-0.78639954207212359</v>
      </c>
      <c r="M70" s="28">
        <f t="shared" si="15"/>
        <v>0.21360045792787635</v>
      </c>
      <c r="N70" s="29">
        <f t="shared" si="16"/>
        <v>34346</v>
      </c>
    </row>
    <row r="71" spans="1:14" x14ac:dyDescent="0.35">
      <c r="A71" t="s">
        <v>70</v>
      </c>
      <c r="B71" t="s">
        <v>74</v>
      </c>
      <c r="C71" s="13">
        <v>33937</v>
      </c>
      <c r="D71" s="12">
        <v>10163</v>
      </c>
      <c r="E71" s="12">
        <v>4083</v>
      </c>
      <c r="F71" s="12">
        <v>1426</v>
      </c>
      <c r="G71" s="13">
        <v>35865</v>
      </c>
      <c r="H71" s="26">
        <f t="shared" si="10"/>
        <v>0.40175145134310736</v>
      </c>
      <c r="I71" s="27">
        <f t="shared" si="11"/>
        <v>0.34925300024491795</v>
      </c>
      <c r="J71" s="28">
        <f t="shared" si="12"/>
        <v>8.3117805535145735</v>
      </c>
      <c r="K71" s="28">
        <f t="shared" si="13"/>
        <v>23.79873772791024</v>
      </c>
      <c r="L71" s="26">
        <f t="shared" si="14"/>
        <v>5.681115007219259E-2</v>
      </c>
      <c r="M71" s="28">
        <f t="shared" si="15"/>
        <v>1.0568111500721926</v>
      </c>
      <c r="N71" s="29">
        <f t="shared" si="16"/>
        <v>-1928</v>
      </c>
    </row>
    <row r="72" spans="1:14" x14ac:dyDescent="0.35">
      <c r="A72" t="s">
        <v>53</v>
      </c>
      <c r="B72" t="s">
        <v>73</v>
      </c>
      <c r="C72" s="13">
        <v>10656</v>
      </c>
      <c r="D72" s="12">
        <v>51424</v>
      </c>
      <c r="E72" s="12">
        <v>9603</v>
      </c>
      <c r="F72" s="12">
        <v>509</v>
      </c>
      <c r="G72" s="13">
        <v>47850</v>
      </c>
      <c r="H72" s="26">
        <f t="shared" si="10"/>
        <v>0.18674159925326694</v>
      </c>
      <c r="I72" s="27">
        <f t="shared" si="11"/>
        <v>5.300426949911486E-2</v>
      </c>
      <c r="J72" s="28">
        <f t="shared" si="12"/>
        <v>1.1096532333645737</v>
      </c>
      <c r="K72" s="28">
        <f t="shared" si="13"/>
        <v>20.93516699410609</v>
      </c>
      <c r="L72" s="26">
        <f t="shared" si="14"/>
        <v>3.4904279279279278</v>
      </c>
      <c r="M72" s="28">
        <f t="shared" si="15"/>
        <v>4.4904279279279278</v>
      </c>
      <c r="N72" s="29">
        <f t="shared" si="16"/>
        <v>-37194</v>
      </c>
    </row>
    <row r="73" spans="1:14" x14ac:dyDescent="0.35">
      <c r="A73" t="s">
        <v>55</v>
      </c>
      <c r="B73" t="s">
        <v>75</v>
      </c>
      <c r="C73" s="13">
        <v>13984</v>
      </c>
      <c r="D73" s="12">
        <v>194816</v>
      </c>
      <c r="E73" s="12">
        <v>8814</v>
      </c>
      <c r="F73" s="12">
        <v>941</v>
      </c>
      <c r="G73" s="13">
        <v>55220</v>
      </c>
      <c r="H73" s="26">
        <f t="shared" si="10"/>
        <v>4.5242690538764785E-2</v>
      </c>
      <c r="I73" s="27">
        <f t="shared" si="11"/>
        <v>0.106761969593828</v>
      </c>
      <c r="J73" s="28">
        <f t="shared" si="12"/>
        <v>1.5865668255048786</v>
      </c>
      <c r="K73" s="28">
        <f t="shared" si="13"/>
        <v>14.860786397449521</v>
      </c>
      <c r="L73" s="26">
        <f t="shared" si="14"/>
        <v>2.9487986270022883</v>
      </c>
      <c r="M73" s="28">
        <f t="shared" si="15"/>
        <v>3.9487986270022883</v>
      </c>
      <c r="N73" s="29">
        <f t="shared" si="16"/>
        <v>-41236</v>
      </c>
    </row>
    <row r="74" spans="1:14" x14ac:dyDescent="0.35">
      <c r="A74" t="s">
        <v>64</v>
      </c>
      <c r="B74" t="s">
        <v>74</v>
      </c>
      <c r="C74" s="13">
        <v>34984</v>
      </c>
      <c r="D74" s="12">
        <v>151706</v>
      </c>
      <c r="E74" s="12">
        <v>621</v>
      </c>
      <c r="F74" s="12">
        <v>607</v>
      </c>
      <c r="G74" s="13">
        <v>7397</v>
      </c>
      <c r="H74" s="26">
        <f t="shared" si="10"/>
        <v>4.0934438980659961E-3</v>
      </c>
      <c r="I74" s="27">
        <f t="shared" si="11"/>
        <v>0.97745571658615138</v>
      </c>
      <c r="J74" s="28">
        <f t="shared" si="12"/>
        <v>56.334943639291467</v>
      </c>
      <c r="K74" s="28">
        <f t="shared" si="13"/>
        <v>57.634266886326195</v>
      </c>
      <c r="L74" s="26">
        <f t="shared" si="14"/>
        <v>-0.7885604847930483</v>
      </c>
      <c r="M74" s="28">
        <f t="shared" si="15"/>
        <v>0.21143951520695176</v>
      </c>
      <c r="N74" s="29">
        <f t="shared" si="16"/>
        <v>27587</v>
      </c>
    </row>
    <row r="75" spans="1:14" x14ac:dyDescent="0.35">
      <c r="A75" t="s">
        <v>71</v>
      </c>
      <c r="B75" t="s">
        <v>72</v>
      </c>
      <c r="C75" s="13">
        <v>13286</v>
      </c>
      <c r="D75" s="12">
        <v>145870</v>
      </c>
      <c r="E75" s="12">
        <v>9227</v>
      </c>
      <c r="F75" s="12">
        <v>243</v>
      </c>
      <c r="G75" s="13">
        <v>36525</v>
      </c>
      <c r="H75" s="26">
        <f t="shared" si="10"/>
        <v>6.3254953040378425E-2</v>
      </c>
      <c r="I75" s="27">
        <f t="shared" si="11"/>
        <v>2.6335753766121166E-2</v>
      </c>
      <c r="J75" s="28">
        <f t="shared" si="12"/>
        <v>1.439904627722987</v>
      </c>
      <c r="K75" s="28">
        <f t="shared" si="13"/>
        <v>54.674897119341566</v>
      </c>
      <c r="L75" s="26">
        <f t="shared" si="14"/>
        <v>1.7491344272166189</v>
      </c>
      <c r="M75" s="28">
        <f t="shared" si="15"/>
        <v>2.7491344272166192</v>
      </c>
      <c r="N75" s="29">
        <f t="shared" si="16"/>
        <v>-23239</v>
      </c>
    </row>
    <row r="76" spans="1:14" x14ac:dyDescent="0.35">
      <c r="A76" t="s">
        <v>53</v>
      </c>
      <c r="B76" t="s">
        <v>74</v>
      </c>
      <c r="C76" s="13">
        <v>10901</v>
      </c>
      <c r="D76" s="12">
        <v>32420</v>
      </c>
      <c r="E76" s="12">
        <v>7669</v>
      </c>
      <c r="F76" s="12">
        <v>611</v>
      </c>
      <c r="G76" s="13">
        <v>54072</v>
      </c>
      <c r="H76" s="26">
        <f t="shared" si="10"/>
        <v>0.23655151141270819</v>
      </c>
      <c r="I76" s="27">
        <f t="shared" si="11"/>
        <v>7.9671404355196249E-2</v>
      </c>
      <c r="J76" s="28">
        <f t="shared" si="12"/>
        <v>1.4214369539705307</v>
      </c>
      <c r="K76" s="28">
        <f t="shared" si="13"/>
        <v>17.841243862520457</v>
      </c>
      <c r="L76" s="26">
        <f t="shared" si="14"/>
        <v>3.960278873497844</v>
      </c>
      <c r="M76" s="28">
        <f t="shared" si="15"/>
        <v>4.9602788734978445</v>
      </c>
      <c r="N76" s="29">
        <f t="shared" si="16"/>
        <v>-43171</v>
      </c>
    </row>
    <row r="77" spans="1:14" x14ac:dyDescent="0.35">
      <c r="A77" t="s">
        <v>48</v>
      </c>
      <c r="B77" t="s">
        <v>74</v>
      </c>
      <c r="C77" s="13">
        <v>36552</v>
      </c>
      <c r="D77" s="12">
        <v>130575</v>
      </c>
      <c r="E77" s="12">
        <v>5884</v>
      </c>
      <c r="F77" s="12">
        <v>323</v>
      </c>
      <c r="G77" s="13">
        <v>24284</v>
      </c>
      <c r="H77" s="26">
        <f t="shared" si="10"/>
        <v>4.5062224775033508E-2</v>
      </c>
      <c r="I77" s="27">
        <f t="shared" si="11"/>
        <v>5.4894629503738954E-2</v>
      </c>
      <c r="J77" s="28">
        <f t="shared" si="12"/>
        <v>6.2121006118286877</v>
      </c>
      <c r="K77" s="28">
        <f t="shared" si="13"/>
        <v>113.16408668730651</v>
      </c>
      <c r="L77" s="26">
        <f t="shared" si="14"/>
        <v>-0.33563142919676076</v>
      </c>
      <c r="M77" s="28">
        <f t="shared" si="15"/>
        <v>0.66436857080323919</v>
      </c>
      <c r="N77" s="29">
        <f t="shared" si="16"/>
        <v>12268</v>
      </c>
    </row>
    <row r="78" spans="1:14" x14ac:dyDescent="0.35">
      <c r="A78" t="s">
        <v>62</v>
      </c>
      <c r="B78" t="s">
        <v>74</v>
      </c>
      <c r="C78" s="13">
        <v>30709</v>
      </c>
      <c r="D78" s="12">
        <v>39300</v>
      </c>
      <c r="E78" s="12">
        <v>4683</v>
      </c>
      <c r="F78" s="12">
        <v>575</v>
      </c>
      <c r="G78" s="13">
        <v>62330</v>
      </c>
      <c r="H78" s="26">
        <f t="shared" si="10"/>
        <v>0.11916030534351145</v>
      </c>
      <c r="I78" s="27">
        <f t="shared" si="11"/>
        <v>0.12278453982489856</v>
      </c>
      <c r="J78" s="28">
        <f t="shared" si="12"/>
        <v>6.5575485799701045</v>
      </c>
      <c r="K78" s="28">
        <f t="shared" si="13"/>
        <v>53.406956521739133</v>
      </c>
      <c r="L78" s="26">
        <f t="shared" si="14"/>
        <v>1.0296981340974958</v>
      </c>
      <c r="M78" s="28">
        <f t="shared" si="15"/>
        <v>2.029698134097496</v>
      </c>
      <c r="N78" s="29">
        <f t="shared" si="16"/>
        <v>-31621</v>
      </c>
    </row>
    <row r="79" spans="1:14" x14ac:dyDescent="0.35">
      <c r="A79" t="s">
        <v>52</v>
      </c>
      <c r="B79" t="s">
        <v>72</v>
      </c>
      <c r="C79" s="13">
        <v>36055</v>
      </c>
      <c r="D79" s="12">
        <v>99881</v>
      </c>
      <c r="E79" s="12">
        <v>6046</v>
      </c>
      <c r="F79" s="12">
        <v>1045</v>
      </c>
      <c r="G79" s="13">
        <v>26122</v>
      </c>
      <c r="H79" s="26">
        <f t="shared" si="10"/>
        <v>6.0532033119412097E-2</v>
      </c>
      <c r="I79" s="27">
        <f t="shared" si="11"/>
        <v>0.1728415481309957</v>
      </c>
      <c r="J79" s="28">
        <f t="shared" si="12"/>
        <v>5.9634469070459808</v>
      </c>
      <c r="K79" s="28">
        <f t="shared" si="13"/>
        <v>34.502392344497608</v>
      </c>
      <c r="L79" s="26">
        <f t="shared" si="14"/>
        <v>-0.27549577035085288</v>
      </c>
      <c r="M79" s="28">
        <f t="shared" si="15"/>
        <v>0.72450422964914718</v>
      </c>
      <c r="N79" s="29">
        <f t="shared" si="16"/>
        <v>9933</v>
      </c>
    </row>
    <row r="80" spans="1:14" x14ac:dyDescent="0.35">
      <c r="A80" t="s">
        <v>60</v>
      </c>
      <c r="B80" t="s">
        <v>73</v>
      </c>
      <c r="C80" s="13">
        <v>42685</v>
      </c>
      <c r="D80" s="12">
        <v>20749</v>
      </c>
      <c r="E80" s="12">
        <v>5041</v>
      </c>
      <c r="F80" s="12">
        <v>218</v>
      </c>
      <c r="G80" s="13">
        <v>71553</v>
      </c>
      <c r="H80" s="26">
        <f t="shared" si="10"/>
        <v>0.24295146754060437</v>
      </c>
      <c r="I80" s="27">
        <f t="shared" si="11"/>
        <v>4.324538781987701E-2</v>
      </c>
      <c r="J80" s="28">
        <f t="shared" si="12"/>
        <v>8.4675659591350918</v>
      </c>
      <c r="K80" s="28">
        <f t="shared" si="13"/>
        <v>195.80275229357798</v>
      </c>
      <c r="L80" s="26">
        <f t="shared" si="14"/>
        <v>0.67630315098980909</v>
      </c>
      <c r="M80" s="28">
        <f t="shared" si="15"/>
        <v>1.676303150989809</v>
      </c>
      <c r="N80" s="29">
        <f t="shared" si="16"/>
        <v>-28868</v>
      </c>
    </row>
    <row r="81" spans="1:14" x14ac:dyDescent="0.35">
      <c r="A81" t="s">
        <v>55</v>
      </c>
      <c r="B81" t="s">
        <v>74</v>
      </c>
      <c r="C81" s="13">
        <v>13429</v>
      </c>
      <c r="D81" s="12">
        <v>114131</v>
      </c>
      <c r="E81" s="12">
        <v>6367</v>
      </c>
      <c r="F81" s="12">
        <v>1047</v>
      </c>
      <c r="G81" s="13">
        <v>63812</v>
      </c>
      <c r="H81" s="26">
        <f t="shared" si="10"/>
        <v>5.5786771341703831E-2</v>
      </c>
      <c r="I81" s="27">
        <f t="shared" si="11"/>
        <v>0.16444165226951468</v>
      </c>
      <c r="J81" s="28">
        <f t="shared" si="12"/>
        <v>2.1091565886602797</v>
      </c>
      <c r="K81" s="28">
        <f t="shared" si="13"/>
        <v>12.826170009551099</v>
      </c>
      <c r="L81" s="26">
        <f t="shared" si="14"/>
        <v>3.7518057934321245</v>
      </c>
      <c r="M81" s="28">
        <f t="shared" si="15"/>
        <v>4.7518057934321245</v>
      </c>
      <c r="N81" s="29">
        <f t="shared" si="16"/>
        <v>-50383</v>
      </c>
    </row>
    <row r="82" spans="1:14" x14ac:dyDescent="0.35">
      <c r="A82" t="s">
        <v>71</v>
      </c>
      <c r="B82" t="s">
        <v>74</v>
      </c>
      <c r="C82" s="13">
        <v>19716</v>
      </c>
      <c r="D82" s="12">
        <v>166193</v>
      </c>
      <c r="E82" s="12">
        <v>7228</v>
      </c>
      <c r="F82" s="12">
        <v>1666</v>
      </c>
      <c r="G82" s="13">
        <v>8999</v>
      </c>
      <c r="H82" s="26">
        <f t="shared" si="10"/>
        <v>4.3491603136112833E-2</v>
      </c>
      <c r="I82" s="27">
        <f t="shared" si="11"/>
        <v>0.23049252905368015</v>
      </c>
      <c r="J82" s="28">
        <f t="shared" si="12"/>
        <v>2.7277255118981736</v>
      </c>
      <c r="K82" s="28">
        <f t="shared" si="13"/>
        <v>11.834333733493397</v>
      </c>
      <c r="L82" s="26">
        <f t="shared" si="14"/>
        <v>-0.54356867518766483</v>
      </c>
      <c r="M82" s="28">
        <f t="shared" si="15"/>
        <v>0.45643132481233517</v>
      </c>
      <c r="N82" s="29">
        <f t="shared" si="16"/>
        <v>10717</v>
      </c>
    </row>
    <row r="83" spans="1:14" x14ac:dyDescent="0.35">
      <c r="A83" t="s">
        <v>53</v>
      </c>
      <c r="B83" t="s">
        <v>75</v>
      </c>
      <c r="C83" s="13">
        <v>16138</v>
      </c>
      <c r="D83" s="12">
        <v>138563</v>
      </c>
      <c r="E83" s="12">
        <v>2561</v>
      </c>
      <c r="F83" s="12">
        <v>1451</v>
      </c>
      <c r="G83" s="13">
        <v>23436</v>
      </c>
      <c r="H83" s="26">
        <f t="shared" si="10"/>
        <v>1.8482567496373489E-2</v>
      </c>
      <c r="I83" s="27">
        <f t="shared" si="11"/>
        <v>0.56657555642327218</v>
      </c>
      <c r="J83" s="28">
        <f t="shared" si="12"/>
        <v>6.301444748145256</v>
      </c>
      <c r="K83" s="28">
        <f t="shared" si="13"/>
        <v>11.12198483804273</v>
      </c>
      <c r="L83" s="26">
        <f t="shared" si="14"/>
        <v>0.45222456314289255</v>
      </c>
      <c r="M83" s="28">
        <f t="shared" si="15"/>
        <v>1.4522245631428925</v>
      </c>
      <c r="N83" s="29">
        <f t="shared" si="16"/>
        <v>-7298</v>
      </c>
    </row>
    <row r="84" spans="1:14" x14ac:dyDescent="0.35">
      <c r="A84" t="s">
        <v>52</v>
      </c>
      <c r="B84" t="s">
        <v>72</v>
      </c>
      <c r="C84" s="13">
        <v>40298</v>
      </c>
      <c r="D84" s="12">
        <v>47487</v>
      </c>
      <c r="E84" s="12">
        <v>785</v>
      </c>
      <c r="F84" s="12">
        <v>1470</v>
      </c>
      <c r="G84" s="13">
        <v>43963</v>
      </c>
      <c r="H84" s="26">
        <f t="shared" si="10"/>
        <v>1.6530840019373723E-2</v>
      </c>
      <c r="I84" s="27">
        <f t="shared" si="11"/>
        <v>1.8726114649681529</v>
      </c>
      <c r="J84" s="28">
        <f t="shared" si="12"/>
        <v>51.335031847133756</v>
      </c>
      <c r="K84" s="28">
        <f t="shared" si="13"/>
        <v>27.41360544217687</v>
      </c>
      <c r="L84" s="26">
        <f t="shared" si="14"/>
        <v>9.0947441560375208E-2</v>
      </c>
      <c r="M84" s="28">
        <f t="shared" si="15"/>
        <v>1.0909474415603753</v>
      </c>
      <c r="N84" s="29">
        <f t="shared" si="16"/>
        <v>-3665</v>
      </c>
    </row>
    <row r="85" spans="1:14" x14ac:dyDescent="0.35">
      <c r="A85" t="s">
        <v>66</v>
      </c>
      <c r="B85" t="s">
        <v>74</v>
      </c>
      <c r="C85" s="13">
        <v>28429</v>
      </c>
      <c r="D85" s="12">
        <v>174433</v>
      </c>
      <c r="E85" s="12">
        <v>2260</v>
      </c>
      <c r="F85" s="12">
        <v>1410</v>
      </c>
      <c r="G85" s="13">
        <v>3096</v>
      </c>
      <c r="H85" s="26">
        <f t="shared" si="10"/>
        <v>1.2956264009677068E-2</v>
      </c>
      <c r="I85" s="27">
        <f t="shared" si="11"/>
        <v>0.62389380530973448</v>
      </c>
      <c r="J85" s="28">
        <f t="shared" si="12"/>
        <v>12.579203539823009</v>
      </c>
      <c r="K85" s="28">
        <f t="shared" si="13"/>
        <v>20.162411347517729</v>
      </c>
      <c r="L85" s="26">
        <f t="shared" si="14"/>
        <v>-0.89109711913890743</v>
      </c>
      <c r="M85" s="28">
        <f t="shared" si="15"/>
        <v>0.10890288086109255</v>
      </c>
      <c r="N85" s="29">
        <f t="shared" si="16"/>
        <v>25333</v>
      </c>
    </row>
    <row r="86" spans="1:14" x14ac:dyDescent="0.35">
      <c r="A86" t="s">
        <v>67</v>
      </c>
      <c r="B86" t="s">
        <v>72</v>
      </c>
      <c r="C86" s="13">
        <v>10772</v>
      </c>
      <c r="D86" s="12">
        <v>31223</v>
      </c>
      <c r="E86" s="12">
        <v>7131</v>
      </c>
      <c r="F86" s="12">
        <v>1053</v>
      </c>
      <c r="G86" s="13">
        <v>26279</v>
      </c>
      <c r="H86" s="26">
        <f t="shared" si="10"/>
        <v>0.22838932837972009</v>
      </c>
      <c r="I86" s="27">
        <f t="shared" si="11"/>
        <v>0.14766512410601598</v>
      </c>
      <c r="J86" s="28">
        <f t="shared" si="12"/>
        <v>1.5105875753751228</v>
      </c>
      <c r="K86" s="28">
        <f t="shared" si="13"/>
        <v>10.229819563152896</v>
      </c>
      <c r="L86" s="26">
        <f t="shared" si="14"/>
        <v>1.4395655402896399</v>
      </c>
      <c r="M86" s="28">
        <f t="shared" si="15"/>
        <v>2.4395655402896397</v>
      </c>
      <c r="N86" s="29">
        <f t="shared" si="16"/>
        <v>-15507</v>
      </c>
    </row>
    <row r="87" spans="1:14" x14ac:dyDescent="0.35">
      <c r="A87" t="s">
        <v>55</v>
      </c>
      <c r="B87" t="s">
        <v>74</v>
      </c>
      <c r="C87" s="13">
        <v>40732</v>
      </c>
      <c r="D87" s="12">
        <v>82930</v>
      </c>
      <c r="E87" s="12">
        <v>9859</v>
      </c>
      <c r="F87" s="12">
        <v>596</v>
      </c>
      <c r="G87" s="13">
        <v>27201</v>
      </c>
      <c r="H87" s="26">
        <f t="shared" si="10"/>
        <v>0.11888339563487278</v>
      </c>
      <c r="I87" s="27">
        <f t="shared" si="11"/>
        <v>6.0452378537377019E-2</v>
      </c>
      <c r="J87" s="28">
        <f t="shared" si="12"/>
        <v>4.1314534942691958</v>
      </c>
      <c r="K87" s="28">
        <f t="shared" si="13"/>
        <v>68.34228187919463</v>
      </c>
      <c r="L87" s="26">
        <f t="shared" si="14"/>
        <v>-0.33219581655700675</v>
      </c>
      <c r="M87" s="28">
        <f t="shared" si="15"/>
        <v>0.66780418344299319</v>
      </c>
      <c r="N87" s="29">
        <f t="shared" si="16"/>
        <v>13531</v>
      </c>
    </row>
    <row r="88" spans="1:14" x14ac:dyDescent="0.35">
      <c r="A88" t="s">
        <v>70</v>
      </c>
      <c r="B88" t="s">
        <v>73</v>
      </c>
      <c r="C88" s="13">
        <v>44905</v>
      </c>
      <c r="D88" s="12">
        <v>155128</v>
      </c>
      <c r="E88" s="12">
        <v>5441</v>
      </c>
      <c r="F88" s="12">
        <v>1945</v>
      </c>
      <c r="G88" s="13">
        <v>20715</v>
      </c>
      <c r="H88" s="26">
        <f t="shared" si="10"/>
        <v>3.5074261255221492E-2</v>
      </c>
      <c r="I88" s="27">
        <f t="shared" si="11"/>
        <v>0.35747105311523619</v>
      </c>
      <c r="J88" s="28">
        <f t="shared" si="12"/>
        <v>8.2530784782209157</v>
      </c>
      <c r="K88" s="28">
        <f t="shared" si="13"/>
        <v>23.087403598971722</v>
      </c>
      <c r="L88" s="26">
        <f t="shared" si="14"/>
        <v>-0.53869279590246077</v>
      </c>
      <c r="M88" s="28">
        <f t="shared" si="15"/>
        <v>0.46130720409753923</v>
      </c>
      <c r="N88" s="29">
        <f t="shared" si="16"/>
        <v>24190</v>
      </c>
    </row>
    <row r="89" spans="1:14" x14ac:dyDescent="0.35">
      <c r="A89" t="s">
        <v>47</v>
      </c>
      <c r="B89" t="s">
        <v>73</v>
      </c>
      <c r="C89" s="13">
        <v>22347</v>
      </c>
      <c r="D89" s="12">
        <v>38380</v>
      </c>
      <c r="E89" s="12">
        <v>138</v>
      </c>
      <c r="F89" s="12">
        <v>1788</v>
      </c>
      <c r="G89" s="13">
        <v>30309</v>
      </c>
      <c r="H89" s="26">
        <f t="shared" si="10"/>
        <v>3.5956227201667536E-3</v>
      </c>
      <c r="I89" s="27">
        <f t="shared" si="11"/>
        <v>12.956521739130435</v>
      </c>
      <c r="J89" s="28">
        <f t="shared" si="12"/>
        <v>161.93478260869566</v>
      </c>
      <c r="K89" s="28">
        <f t="shared" si="13"/>
        <v>12.498322147651006</v>
      </c>
      <c r="L89" s="26">
        <f t="shared" si="14"/>
        <v>0.35628943482346626</v>
      </c>
      <c r="M89" s="28">
        <f t="shared" si="15"/>
        <v>1.3562894348234662</v>
      </c>
      <c r="N89" s="29">
        <f t="shared" si="16"/>
        <v>-7962</v>
      </c>
    </row>
    <row r="90" spans="1:14" x14ac:dyDescent="0.35">
      <c r="A90" t="s">
        <v>57</v>
      </c>
      <c r="B90" t="s">
        <v>74</v>
      </c>
      <c r="C90" s="13">
        <v>21920</v>
      </c>
      <c r="D90" s="12">
        <v>36035</v>
      </c>
      <c r="E90" s="12">
        <v>4975</v>
      </c>
      <c r="F90" s="12">
        <v>1768</v>
      </c>
      <c r="G90" s="13">
        <v>16078</v>
      </c>
      <c r="H90" s="26">
        <f t="shared" si="10"/>
        <v>0.13806021923130291</v>
      </c>
      <c r="I90" s="27">
        <f t="shared" si="11"/>
        <v>0.35537688442211057</v>
      </c>
      <c r="J90" s="28">
        <f t="shared" si="12"/>
        <v>4.4060301507537689</v>
      </c>
      <c r="K90" s="28">
        <f t="shared" si="13"/>
        <v>12.398190045248869</v>
      </c>
      <c r="L90" s="26">
        <f t="shared" si="14"/>
        <v>-0.26651459854014597</v>
      </c>
      <c r="M90" s="28">
        <f t="shared" si="15"/>
        <v>0.73348540145985397</v>
      </c>
      <c r="N90" s="29">
        <f t="shared" si="16"/>
        <v>5842</v>
      </c>
    </row>
    <row r="91" spans="1:14" x14ac:dyDescent="0.35">
      <c r="A91" t="s">
        <v>49</v>
      </c>
      <c r="B91" t="s">
        <v>73</v>
      </c>
      <c r="C91" s="13">
        <v>36822</v>
      </c>
      <c r="D91" s="12">
        <v>40620</v>
      </c>
      <c r="E91" s="12">
        <v>1356</v>
      </c>
      <c r="F91" s="12">
        <v>1024</v>
      </c>
      <c r="G91" s="13">
        <v>57614</v>
      </c>
      <c r="H91" s="26">
        <f t="shared" si="10"/>
        <v>3.3382570162481535E-2</v>
      </c>
      <c r="I91" s="27">
        <f t="shared" si="11"/>
        <v>0.75516224188790559</v>
      </c>
      <c r="J91" s="28">
        <f t="shared" si="12"/>
        <v>27.154867256637168</v>
      </c>
      <c r="K91" s="28">
        <f t="shared" si="13"/>
        <v>35.958984375</v>
      </c>
      <c r="L91" s="26">
        <f t="shared" si="14"/>
        <v>0.56466243006898054</v>
      </c>
      <c r="M91" s="28">
        <f t="shared" si="15"/>
        <v>1.5646624300689804</v>
      </c>
      <c r="N91" s="29">
        <f t="shared" si="16"/>
        <v>-20792</v>
      </c>
    </row>
    <row r="92" spans="1:14" x14ac:dyDescent="0.35">
      <c r="A92" t="s">
        <v>63</v>
      </c>
      <c r="B92" t="s">
        <v>74</v>
      </c>
      <c r="C92" s="13">
        <v>45108</v>
      </c>
      <c r="D92" s="12">
        <v>160949</v>
      </c>
      <c r="E92" s="12">
        <v>7797</v>
      </c>
      <c r="F92" s="12">
        <v>1103</v>
      </c>
      <c r="G92" s="13">
        <v>6105</v>
      </c>
      <c r="H92" s="26">
        <f t="shared" si="10"/>
        <v>4.8443917017191779E-2</v>
      </c>
      <c r="I92" s="27">
        <f t="shared" si="11"/>
        <v>0.14146466589713994</v>
      </c>
      <c r="J92" s="28">
        <f t="shared" si="12"/>
        <v>5.7853020392458641</v>
      </c>
      <c r="K92" s="28">
        <f t="shared" si="13"/>
        <v>40.89573889392566</v>
      </c>
      <c r="L92" s="26">
        <f t="shared" si="14"/>
        <v>-0.864658153764299</v>
      </c>
      <c r="M92" s="28">
        <f t="shared" si="15"/>
        <v>0.13534184623570097</v>
      </c>
      <c r="N92" s="29">
        <f t="shared" si="16"/>
        <v>39003</v>
      </c>
    </row>
    <row r="93" spans="1:14" x14ac:dyDescent="0.35">
      <c r="A93" t="s">
        <v>56</v>
      </c>
      <c r="B93" t="s">
        <v>73</v>
      </c>
      <c r="C93" s="13">
        <v>28563</v>
      </c>
      <c r="D93" s="12">
        <v>196388</v>
      </c>
      <c r="E93" s="12">
        <v>2296</v>
      </c>
      <c r="F93" s="12">
        <v>1857</v>
      </c>
      <c r="G93" s="13">
        <v>3839</v>
      </c>
      <c r="H93" s="26">
        <f t="shared" si="10"/>
        <v>1.1691142024970977E-2</v>
      </c>
      <c r="I93" s="27">
        <f t="shared" si="11"/>
        <v>0.80879790940766549</v>
      </c>
      <c r="J93" s="28">
        <f t="shared" si="12"/>
        <v>12.440331010452962</v>
      </c>
      <c r="K93" s="28">
        <f t="shared" si="13"/>
        <v>15.381260096930534</v>
      </c>
      <c r="L93" s="26">
        <f t="shared" si="14"/>
        <v>-0.8655953506284354</v>
      </c>
      <c r="M93" s="28">
        <f t="shared" si="15"/>
        <v>0.1344046493715646</v>
      </c>
      <c r="N93" s="29">
        <f t="shared" si="16"/>
        <v>24724</v>
      </c>
    </row>
    <row r="94" spans="1:14" x14ac:dyDescent="0.35">
      <c r="A94" t="s">
        <v>66</v>
      </c>
      <c r="B94" t="s">
        <v>75</v>
      </c>
      <c r="C94" s="13">
        <v>12967</v>
      </c>
      <c r="D94" s="12">
        <v>127360</v>
      </c>
      <c r="E94" s="12">
        <v>7265</v>
      </c>
      <c r="F94" s="12">
        <v>1244</v>
      </c>
      <c r="G94" s="13">
        <v>69920</v>
      </c>
      <c r="H94" s="26">
        <f t="shared" si="10"/>
        <v>5.7043027638190955E-2</v>
      </c>
      <c r="I94" s="27">
        <f t="shared" si="11"/>
        <v>0.17123193392980041</v>
      </c>
      <c r="J94" s="28">
        <f t="shared" si="12"/>
        <v>1.7848589125946317</v>
      </c>
      <c r="K94" s="28">
        <f t="shared" si="13"/>
        <v>10.42363344051447</v>
      </c>
      <c r="L94" s="26">
        <f t="shared" si="14"/>
        <v>4.3921493020744968</v>
      </c>
      <c r="M94" s="28">
        <f t="shared" si="15"/>
        <v>5.3921493020744968</v>
      </c>
      <c r="N94" s="29">
        <f t="shared" si="16"/>
        <v>-56953</v>
      </c>
    </row>
    <row r="95" spans="1:14" x14ac:dyDescent="0.35">
      <c r="A95" t="s">
        <v>67</v>
      </c>
      <c r="B95" t="s">
        <v>75</v>
      </c>
      <c r="C95" s="13">
        <v>16871</v>
      </c>
      <c r="D95" s="12">
        <v>63352</v>
      </c>
      <c r="E95" s="12">
        <v>401</v>
      </c>
      <c r="F95" s="12">
        <v>1134</v>
      </c>
      <c r="G95" s="13">
        <v>44619</v>
      </c>
      <c r="H95" s="26">
        <f t="shared" si="10"/>
        <v>6.3297133476449049E-3</v>
      </c>
      <c r="I95" s="27">
        <f t="shared" si="11"/>
        <v>2.827930174563591</v>
      </c>
      <c r="J95" s="28">
        <f t="shared" si="12"/>
        <v>42.072319201995015</v>
      </c>
      <c r="K95" s="28">
        <f t="shared" si="13"/>
        <v>14.87742504409171</v>
      </c>
      <c r="L95" s="26">
        <f t="shared" si="14"/>
        <v>1.6447157844822475</v>
      </c>
      <c r="M95" s="28">
        <f t="shared" si="15"/>
        <v>2.6447157844822478</v>
      </c>
      <c r="N95" s="29">
        <f t="shared" si="16"/>
        <v>-27748</v>
      </c>
    </row>
    <row r="96" spans="1:14" x14ac:dyDescent="0.35">
      <c r="A96" t="s">
        <v>68</v>
      </c>
      <c r="B96" t="s">
        <v>75</v>
      </c>
      <c r="C96" s="13">
        <v>33763</v>
      </c>
      <c r="D96" s="12">
        <v>171983</v>
      </c>
      <c r="E96" s="12">
        <v>7627</v>
      </c>
      <c r="F96" s="12">
        <v>707</v>
      </c>
      <c r="G96" s="13">
        <v>43821</v>
      </c>
      <c r="H96" s="26">
        <f t="shared" si="10"/>
        <v>4.4347406429705263E-2</v>
      </c>
      <c r="I96" s="27">
        <f t="shared" si="11"/>
        <v>9.2696997508850132E-2</v>
      </c>
      <c r="J96" s="28">
        <f t="shared" si="12"/>
        <v>4.426773305362528</v>
      </c>
      <c r="K96" s="28">
        <f t="shared" si="13"/>
        <v>47.755304101838753</v>
      </c>
      <c r="L96" s="26">
        <f t="shared" si="14"/>
        <v>0.29790006812190861</v>
      </c>
      <c r="M96" s="28">
        <f t="shared" si="15"/>
        <v>1.2979000681219086</v>
      </c>
      <c r="N96" s="29">
        <f t="shared" si="16"/>
        <v>-10058</v>
      </c>
    </row>
    <row r="97" spans="1:14" x14ac:dyDescent="0.35">
      <c r="A97" t="s">
        <v>57</v>
      </c>
      <c r="B97" t="s">
        <v>72</v>
      </c>
      <c r="C97" s="13">
        <v>16916</v>
      </c>
      <c r="D97" s="12">
        <v>173856</v>
      </c>
      <c r="E97" s="12">
        <v>6481</v>
      </c>
      <c r="F97" s="12">
        <v>141</v>
      </c>
      <c r="G97" s="13">
        <v>14493</v>
      </c>
      <c r="H97" s="26">
        <f t="shared" si="10"/>
        <v>3.7277977176513898E-2</v>
      </c>
      <c r="I97" s="27">
        <f t="shared" si="11"/>
        <v>2.1755901866995834E-2</v>
      </c>
      <c r="J97" s="28">
        <f t="shared" si="12"/>
        <v>2.6100910353340532</v>
      </c>
      <c r="K97" s="28">
        <f t="shared" si="13"/>
        <v>119.97163120567376</v>
      </c>
      <c r="L97" s="26">
        <f t="shared" si="14"/>
        <v>-0.14323717190825255</v>
      </c>
      <c r="M97" s="28">
        <f t="shared" si="15"/>
        <v>0.85676282809174742</v>
      </c>
      <c r="N97" s="29">
        <f t="shared" si="16"/>
        <v>2423</v>
      </c>
    </row>
    <row r="98" spans="1:14" x14ac:dyDescent="0.35">
      <c r="A98" t="s">
        <v>65</v>
      </c>
      <c r="B98" t="s">
        <v>72</v>
      </c>
      <c r="C98" s="13">
        <v>13734</v>
      </c>
      <c r="D98" s="12">
        <v>13191</v>
      </c>
      <c r="E98" s="12">
        <v>746</v>
      </c>
      <c r="F98" s="12">
        <v>1656</v>
      </c>
      <c r="G98" s="13">
        <v>18069</v>
      </c>
      <c r="H98" s="26">
        <f t="shared" si="10"/>
        <v>5.6553710863467513E-2</v>
      </c>
      <c r="I98" s="27">
        <f t="shared" si="11"/>
        <v>2.219839142091153</v>
      </c>
      <c r="J98" s="28">
        <f t="shared" si="12"/>
        <v>18.410187667560322</v>
      </c>
      <c r="K98" s="28">
        <f t="shared" si="13"/>
        <v>8.2934782608695645</v>
      </c>
      <c r="L98" s="26">
        <f t="shared" si="14"/>
        <v>0.31564001747487985</v>
      </c>
      <c r="M98" s="28">
        <f t="shared" si="15"/>
        <v>1.3156400174748799</v>
      </c>
      <c r="N98" s="29">
        <f t="shared" si="16"/>
        <v>-4335</v>
      </c>
    </row>
    <row r="99" spans="1:14" x14ac:dyDescent="0.35">
      <c r="A99" t="s">
        <v>51</v>
      </c>
      <c r="B99" t="s">
        <v>75</v>
      </c>
      <c r="C99" s="13">
        <v>38613</v>
      </c>
      <c r="D99" s="12">
        <v>174232</v>
      </c>
      <c r="E99" s="12">
        <v>8889</v>
      </c>
      <c r="F99" s="12">
        <v>1414</v>
      </c>
      <c r="G99" s="13">
        <v>8531</v>
      </c>
      <c r="H99" s="26">
        <f t="shared" si="10"/>
        <v>5.1018182653014374E-2</v>
      </c>
      <c r="I99" s="27">
        <f t="shared" si="11"/>
        <v>0.15907301158735515</v>
      </c>
      <c r="J99" s="28">
        <f t="shared" si="12"/>
        <v>4.3439082011474852</v>
      </c>
      <c r="K99" s="28">
        <f t="shared" si="13"/>
        <v>27.307637906647809</v>
      </c>
      <c r="L99" s="26">
        <f t="shared" si="14"/>
        <v>-0.77906404578768806</v>
      </c>
      <c r="M99" s="28">
        <f t="shared" si="15"/>
        <v>0.22093595421231191</v>
      </c>
      <c r="N99" s="29">
        <f t="shared" si="16"/>
        <v>30082</v>
      </c>
    </row>
    <row r="100" spans="1:14" x14ac:dyDescent="0.35">
      <c r="A100" t="s">
        <v>70</v>
      </c>
      <c r="B100" t="s">
        <v>72</v>
      </c>
      <c r="C100" s="13">
        <v>33179</v>
      </c>
      <c r="D100" s="12">
        <v>100536</v>
      </c>
      <c r="E100" s="12">
        <v>8953</v>
      </c>
      <c r="F100" s="12">
        <v>1165</v>
      </c>
      <c r="G100" s="13">
        <v>38051</v>
      </c>
      <c r="H100" s="26">
        <f t="shared" si="10"/>
        <v>8.9052677647807749E-2</v>
      </c>
      <c r="I100" s="27">
        <f t="shared" si="11"/>
        <v>0.13012398078856249</v>
      </c>
      <c r="J100" s="28">
        <f t="shared" si="12"/>
        <v>3.7059086339774376</v>
      </c>
      <c r="K100" s="28">
        <f t="shared" si="13"/>
        <v>28.479828326180257</v>
      </c>
      <c r="L100" s="26">
        <f t="shared" si="14"/>
        <v>0.14683986859157902</v>
      </c>
      <c r="M100" s="28">
        <f t="shared" si="15"/>
        <v>1.146839868591579</v>
      </c>
      <c r="N100" s="29">
        <f t="shared" si="16"/>
        <v>-4872</v>
      </c>
    </row>
    <row r="101" spans="1:14" x14ac:dyDescent="0.35">
      <c r="A101" t="s">
        <v>47</v>
      </c>
      <c r="B101" t="s">
        <v>73</v>
      </c>
      <c r="C101" s="13">
        <v>40262</v>
      </c>
      <c r="D101" s="12">
        <v>114576</v>
      </c>
      <c r="E101" s="12">
        <v>4430</v>
      </c>
      <c r="F101" s="12">
        <v>1053</v>
      </c>
      <c r="G101" s="13">
        <v>8736</v>
      </c>
      <c r="H101" s="26">
        <f t="shared" si="10"/>
        <v>3.8664292696550764E-2</v>
      </c>
      <c r="I101" s="27">
        <f t="shared" si="11"/>
        <v>0.23769751693002258</v>
      </c>
      <c r="J101" s="28">
        <f t="shared" si="12"/>
        <v>9.0884875846501121</v>
      </c>
      <c r="K101" s="28">
        <f t="shared" si="13"/>
        <v>38.235517568850902</v>
      </c>
      <c r="L101" s="26">
        <f t="shared" si="14"/>
        <v>-0.78302121106750777</v>
      </c>
      <c r="M101" s="28">
        <f t="shared" si="15"/>
        <v>0.21697878893249217</v>
      </c>
      <c r="N101" s="29">
        <f t="shared" si="16"/>
        <v>31526</v>
      </c>
    </row>
  </sheetData>
  <pageMargins left="0.7" right="0.7" top="0.75" bottom="0.75" header="0.3" footer="0.3"/>
  <tableParts count="1">
    <tablePart r:id="rId1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3FF27-48AC-4BF3-AAD6-999BF3044939}">
  <dimension ref="A1:AB88"/>
  <sheetViews>
    <sheetView topLeftCell="A89" zoomScale="35" zoomScaleNormal="80" workbookViewId="0">
      <selection activeCell="D2" sqref="D2"/>
    </sheetView>
  </sheetViews>
  <sheetFormatPr defaultRowHeight="14.5" x14ac:dyDescent="0.35"/>
  <cols>
    <col min="1" max="1" width="59.54296875" bestFit="1" customWidth="1"/>
    <col min="2" max="2" width="42.7265625" customWidth="1"/>
    <col min="3" max="3" width="52.90625" customWidth="1"/>
  </cols>
  <sheetData>
    <row r="1" spans="1:28" ht="61.5" x14ac:dyDescent="1.35">
      <c r="A1" s="24" t="s">
        <v>124</v>
      </c>
      <c r="B1" s="24" t="s">
        <v>125</v>
      </c>
      <c r="C1" s="24" t="s">
        <v>126</v>
      </c>
      <c r="AB1" s="35" t="s">
        <v>154</v>
      </c>
    </row>
    <row r="2" spans="1:28" ht="29" x14ac:dyDescent="0.6">
      <c r="A2" s="22" t="s">
        <v>117</v>
      </c>
      <c r="B2" s="21" t="s">
        <v>123</v>
      </c>
      <c r="C2" s="21" t="s">
        <v>127</v>
      </c>
      <c r="R2" s="33" t="s">
        <v>156</v>
      </c>
    </row>
    <row r="3" spans="1:28" x14ac:dyDescent="0.35">
      <c r="A3" s="22" t="s">
        <v>118</v>
      </c>
      <c r="B3" s="21" t="s">
        <v>128</v>
      </c>
      <c r="C3" s="21" t="s">
        <v>129</v>
      </c>
    </row>
    <row r="4" spans="1:28" x14ac:dyDescent="0.35">
      <c r="A4" s="22" t="s">
        <v>119</v>
      </c>
      <c r="B4" s="21" t="s">
        <v>130</v>
      </c>
      <c r="C4" s="21" t="s">
        <v>131</v>
      </c>
    </row>
    <row r="5" spans="1:28" x14ac:dyDescent="0.35">
      <c r="A5" s="22" t="s">
        <v>120</v>
      </c>
      <c r="B5" s="21" t="s">
        <v>132</v>
      </c>
      <c r="C5" s="21" t="s">
        <v>133</v>
      </c>
    </row>
    <row r="6" spans="1:28" x14ac:dyDescent="0.35">
      <c r="A6" s="22" t="s">
        <v>121</v>
      </c>
      <c r="B6" s="21" t="s">
        <v>134</v>
      </c>
      <c r="C6" s="21" t="s">
        <v>135</v>
      </c>
    </row>
    <row r="7" spans="1:28" x14ac:dyDescent="0.35">
      <c r="A7" s="22" t="s">
        <v>122</v>
      </c>
      <c r="B7" s="21" t="s">
        <v>136</v>
      </c>
      <c r="C7" s="21" t="s">
        <v>137</v>
      </c>
    </row>
    <row r="10" spans="1:28" ht="23.5" x14ac:dyDescent="0.35">
      <c r="A10" s="25"/>
    </row>
    <row r="51" spans="9:9" ht="28.5" x14ac:dyDescent="0.65">
      <c r="I51" s="34" t="s">
        <v>155</v>
      </c>
    </row>
    <row r="67" spans="1:14" ht="17.5" x14ac:dyDescent="0.35">
      <c r="A67" s="31"/>
    </row>
    <row r="68" spans="1:14" x14ac:dyDescent="0.35">
      <c r="A68" s="32"/>
    </row>
    <row r="69" spans="1:14" x14ac:dyDescent="0.35">
      <c r="A69" s="32"/>
    </row>
    <row r="70" spans="1:14" x14ac:dyDescent="0.35">
      <c r="A70" s="32"/>
    </row>
    <row r="71" spans="1:14" x14ac:dyDescent="0.35">
      <c r="A71" s="32"/>
    </row>
    <row r="72" spans="1:14" x14ac:dyDescent="0.35">
      <c r="A72" s="32"/>
    </row>
    <row r="73" spans="1:14" x14ac:dyDescent="0.35">
      <c r="A73" s="32"/>
    </row>
    <row r="75" spans="1:14" ht="17.5" x14ac:dyDescent="0.35">
      <c r="A75" s="31"/>
    </row>
    <row r="76" spans="1:14" x14ac:dyDescent="0.35">
      <c r="A76" s="32"/>
    </row>
    <row r="77" spans="1:14" x14ac:dyDescent="0.35">
      <c r="A77" s="32"/>
    </row>
    <row r="78" spans="1:14" x14ac:dyDescent="0.35">
      <c r="A78" s="32"/>
    </row>
    <row r="79" spans="1:14" ht="36" x14ac:dyDescent="0.8">
      <c r="A79" s="32"/>
      <c r="G79" s="36" t="s">
        <v>157</v>
      </c>
      <c r="N79" s="36"/>
    </row>
    <row r="80" spans="1:14" x14ac:dyDescent="0.35">
      <c r="A80" s="32"/>
    </row>
    <row r="81" spans="1:21" x14ac:dyDescent="0.35">
      <c r="A81" s="32"/>
    </row>
    <row r="82" spans="1:21" s="37" customFormat="1" x14ac:dyDescent="0.35"/>
    <row r="85" spans="1:21" ht="61.5" x14ac:dyDescent="1.35">
      <c r="H85" s="35" t="s">
        <v>158</v>
      </c>
    </row>
    <row r="86" spans="1:21" ht="28.5" x14ac:dyDescent="0.65">
      <c r="A86" s="34" t="s">
        <v>159</v>
      </c>
    </row>
    <row r="88" spans="1:21" ht="36" x14ac:dyDescent="0.8">
      <c r="D88" s="38" t="s">
        <v>161</v>
      </c>
      <c r="U88" s="36" t="s">
        <v>163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Sales_Performance</vt:lpstr>
      <vt:lpstr>Sales Performance dashboard</vt:lpstr>
      <vt:lpstr>Survey_Data</vt:lpstr>
      <vt:lpstr>Survey data dashboard</vt:lpstr>
      <vt:lpstr>Marketing_ROI_KPIs</vt:lpstr>
      <vt:lpstr>Marketing_ROI Intrepretation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Divya kumari Gupta</cp:lastModifiedBy>
  <dcterms:created xsi:type="dcterms:W3CDTF">2025-09-22T05:52:06Z</dcterms:created>
  <dcterms:modified xsi:type="dcterms:W3CDTF">2025-10-09T07:49:41Z</dcterms:modified>
</cp:coreProperties>
</file>